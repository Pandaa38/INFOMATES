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5530" windowHeight="7180"/>
  </bookViews>
  <sheets>
    <sheet name="L-2.9" sheetId="1" r:id="rId1"/>
  </sheets>
  <calcPr calcId="152511" fullCalcOnLoad="1"/>
</workbook>
</file>

<file path=xl/calcChain.xml><?xml version="1.0" encoding="utf-8"?>
<calcChain xmlns="http://schemas.openxmlformats.org/spreadsheetml/2006/main">
  <c r="O64" i="1" l="1"/>
  <c r="M64" i="1"/>
  <c r="E76" i="1" s="1"/>
  <c r="O63" i="1"/>
  <c r="M63" i="1"/>
  <c r="E75" i="1" s="1"/>
  <c r="O62" i="1"/>
  <c r="M62" i="1"/>
  <c r="E74" i="1" s="1"/>
  <c r="O61" i="1"/>
  <c r="M61" i="1"/>
  <c r="E73" i="1" s="1"/>
  <c r="O60" i="1"/>
  <c r="M60" i="1"/>
  <c r="E72" i="1" s="1"/>
  <c r="O59" i="1"/>
  <c r="M59" i="1"/>
  <c r="E71" i="1" s="1"/>
  <c r="O58" i="1"/>
  <c r="M58" i="1"/>
  <c r="E70" i="1" s="1"/>
  <c r="O57" i="1"/>
  <c r="M57" i="1"/>
  <c r="E69" i="1" s="1"/>
  <c r="O56" i="1"/>
  <c r="M56" i="1"/>
  <c r="E68" i="1" s="1"/>
  <c r="O55" i="1"/>
  <c r="M55" i="1"/>
  <c r="E67" i="1" s="1"/>
  <c r="O52" i="1"/>
  <c r="M52" i="1"/>
  <c r="D76" i="1" s="1"/>
  <c r="O51" i="1"/>
  <c r="M51" i="1"/>
  <c r="D75" i="1" s="1"/>
  <c r="O50" i="1"/>
  <c r="M50" i="1"/>
  <c r="D74" i="1" s="1"/>
  <c r="O49" i="1"/>
  <c r="M49" i="1"/>
  <c r="D73" i="1" s="1"/>
  <c r="O48" i="1"/>
  <c r="M48" i="1"/>
  <c r="D72" i="1" s="1"/>
  <c r="O47" i="1"/>
  <c r="M47" i="1"/>
  <c r="D71" i="1" s="1"/>
  <c r="O46" i="1"/>
  <c r="M46" i="1"/>
  <c r="D70" i="1" s="1"/>
  <c r="O45" i="1"/>
  <c r="M45" i="1"/>
  <c r="D69" i="1" s="1"/>
  <c r="O44" i="1"/>
  <c r="M44" i="1"/>
  <c r="D68" i="1" s="1"/>
  <c r="O43" i="1"/>
  <c r="M43" i="1"/>
  <c r="D67" i="1" s="1"/>
  <c r="O40" i="1"/>
  <c r="M40" i="1"/>
  <c r="C76" i="1" s="1"/>
  <c r="O39" i="1"/>
  <c r="M39" i="1"/>
  <c r="C75" i="1" s="1"/>
  <c r="O38" i="1"/>
  <c r="M38" i="1"/>
  <c r="C74" i="1" s="1"/>
  <c r="O37" i="1"/>
  <c r="M37" i="1"/>
  <c r="C73" i="1" s="1"/>
  <c r="O36" i="1"/>
  <c r="M36" i="1"/>
  <c r="C72" i="1" s="1"/>
  <c r="O35" i="1"/>
  <c r="M35" i="1"/>
  <c r="C71" i="1" s="1"/>
  <c r="O34" i="1"/>
  <c r="M34" i="1"/>
  <c r="C70" i="1" s="1"/>
  <c r="O33" i="1"/>
  <c r="M33" i="1"/>
  <c r="C69" i="1" s="1"/>
  <c r="O32" i="1"/>
  <c r="M32" i="1"/>
  <c r="C68" i="1" s="1"/>
  <c r="O31" i="1"/>
  <c r="M31" i="1"/>
  <c r="C67" i="1" s="1"/>
  <c r="O28" i="1"/>
  <c r="M28" i="1"/>
  <c r="B76" i="1" s="1"/>
  <c r="O27" i="1"/>
  <c r="M27" i="1"/>
  <c r="B75" i="1" s="1"/>
  <c r="O26" i="1"/>
  <c r="M26" i="1"/>
  <c r="B74" i="1" s="1"/>
  <c r="O25" i="1"/>
  <c r="M25" i="1"/>
  <c r="B73" i="1" s="1"/>
  <c r="O24" i="1"/>
  <c r="M24" i="1"/>
  <c r="B72" i="1" s="1"/>
  <c r="O23" i="1"/>
  <c r="M23" i="1"/>
  <c r="B71" i="1" s="1"/>
  <c r="O22" i="1"/>
  <c r="M22" i="1"/>
  <c r="B70" i="1" s="1"/>
  <c r="O21" i="1"/>
  <c r="M21" i="1"/>
  <c r="B69" i="1" s="1"/>
  <c r="O20" i="1"/>
  <c r="M20" i="1"/>
  <c r="B68" i="1" s="1"/>
  <c r="O19" i="1"/>
  <c r="M19" i="1"/>
  <c r="B67" i="1" s="1"/>
  <c r="K76" i="1" l="1"/>
  <c r="J70" i="1"/>
  <c r="J76" i="1"/>
  <c r="K73" i="1"/>
  <c r="I76" i="1"/>
  <c r="I68" i="1"/>
  <c r="K74" i="1"/>
  <c r="K71" i="1"/>
  <c r="J69" i="1"/>
  <c r="K72" i="1"/>
  <c r="K75" i="1"/>
  <c r="J67" i="1"/>
</calcChain>
</file>

<file path=xl/sharedStrings.xml><?xml version="1.0" encoding="utf-8"?>
<sst xmlns="http://schemas.openxmlformats.org/spreadsheetml/2006/main" count="105" uniqueCount="53">
  <si>
    <t xml:space="preserve">  for i in 0 g 1 2; do</t>
  </si>
  <si>
    <t xml:space="preserve">      printf "__OPTIM%1c__%48s\n" $i "" | tr " " "="</t>
  </si>
  <si>
    <t xml:space="preserve">      rm  popcount</t>
  </si>
  <si>
    <t xml:space="preserve">      gcc popcount.c -o popcount -O$i -D TEST=0</t>
  </si>
  <si>
    <t>POPCOUNT:</t>
  </si>
  <si>
    <t xml:space="preserve">    for j in $(seq 0 10); do</t>
  </si>
  <si>
    <t xml:space="preserve">      echo $j; ./popcount</t>
  </si>
  <si>
    <t xml:space="preserve">    done | pr -11 -l 22 -w 80</t>
  </si>
  <si>
    <t xml:space="preserve">  done</t>
  </si>
  <si>
    <t>Zona para reproducir mediciones</t>
  </si>
  <si>
    <t>ignorar medición 0, repetir columna si alguna medición se sale demasiado de la media</t>
  </si>
  <si>
    <t>recordar que se ignora medición 0</t>
  </si>
  <si>
    <t>Optimización -O0</t>
  </si>
  <si>
    <t>media</t>
  </si>
  <si>
    <t>popcount1 (lenguaje C -       for):</t>
  </si>
  <si>
    <t>popcount2 (lenguaje C -     while):</t>
  </si>
  <si>
    <t>popcount3 (leng.ASM-body while 4i):</t>
  </si>
  <si>
    <t>popcount4 (leng.ASM-body while 3i):</t>
  </si>
  <si>
    <t>popcount5 (CS:APP2e 3.49-group 8b):</t>
  </si>
  <si>
    <t>popcount6 (Wikipedia- naive - 32b):</t>
  </si>
  <si>
    <t>popcount7 (Wikipedia- naive -128b):</t>
  </si>
  <si>
    <t>popcount8 (asm SSE3 - pshufb 128b):</t>
  </si>
  <si>
    <t>popcount9 (asm SSE4- popcount 32b):</t>
  </si>
  <si>
    <t>popcount10(asm SSE4- popcount128b):</t>
  </si>
  <si>
    <t>Optimización -Og</t>
  </si>
  <si>
    <t>Optimización -O1</t>
  </si>
  <si>
    <t>Optimización -O2</t>
  </si>
  <si>
    <t>-O0</t>
  </si>
  <si>
    <t>-Og</t>
  </si>
  <si>
    <t>-O1</t>
  </si>
  <si>
    <t>-O2</t>
  </si>
  <si>
    <t>Ganancias:</t>
  </si>
  <si>
    <t>Comentario</t>
  </si>
  <si>
    <t>pcnt1</t>
  </si>
  <si>
    <t>comparado con el for más rápido</t>
  </si>
  <si>
    <t>pcnt2</t>
  </si>
  <si>
    <t>el while es un 70% más rápido</t>
  </si>
  <si>
    <t>pcnt3</t>
  </si>
  <si>
    <t>ASM se queda en un 35%</t>
  </si>
  <si>
    <t>pcnt4</t>
  </si>
  <si>
    <t>o en un 43%</t>
  </si>
  <si>
    <t>pcnt5</t>
  </si>
  <si>
    <t>sumar en grupos 8b sale 3x más rápido</t>
  </si>
  <si>
    <t>pcnt6</t>
  </si>
  <si>
    <t>sumar en árbol 6x</t>
  </si>
  <si>
    <t>pcnt7</t>
  </si>
  <si>
    <t>lectura 128b sube a 10x</t>
  </si>
  <si>
    <t>pcnt8</t>
  </si>
  <si>
    <t>SSSE3 sube a 35x más rápido</t>
  </si>
  <si>
    <t>pcnt9</t>
  </si>
  <si>
    <t>SSE4 sólo 30x por leer 32b</t>
  </si>
  <si>
    <t>pcnt10</t>
  </si>
  <si>
    <t>SSE4 128b sube a 44x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</si>
</sst>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&quot;-&quot;[$$-409]#,##0.00"/>
  </numFmts>
  <fonts count="12">
    <font>
      <sz val="11"/>
      <color theme="1"/>
      <name val="Liberation Sans"/>
    </font>
    <font>
      <b/>
      <i/>
      <sz val="16"/>
      <color theme="1"/>
      <name val="Liberation Sans"/>
    </font>
    <font>
      <b/>
      <i/>
      <u/>
      <sz val="11"/>
      <color theme="1"/>
      <name val="Liberation Sans"/>
    </font>
    <font>
      <b/>
      <sz val="11"/>
      <color rgb="FF800000"/>
      <name val="Liberation Sans"/>
    </font>
    <font>
      <sz val="11"/>
      <color rgb="FF800000"/>
      <name val="Liberation Sans"/>
    </font>
    <font>
      <b/>
      <sz val="11"/>
      <color theme="1"/>
      <name val="Liberation Sans"/>
    </font>
    <font>
      <sz val="10"/>
      <color theme="1"/>
      <name val="Liberation Sans"/>
    </font>
    <font>
      <sz val="8"/>
      <color theme="1"/>
      <name val="Liberation Sans"/>
    </font>
    <font>
      <sz val="11"/>
      <color rgb="FF808080"/>
      <name val="Liberation Sans"/>
    </font>
    <font>
      <sz val="11"/>
      <color theme="1"/>
      <name val="TlwgMono"/>
    </font>
    <font>
      <b/>
      <sz val="11"/>
      <color rgb="FFFFFFFF"/>
      <name val="Liberation Sans"/>
    </font>
    <font>
      <b/>
      <sz val="11"/>
      <color theme="1"/>
      <name val="TlwgMono"/>
    </font>
  </fonts>
  <fills count="12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0099FF"/>
        <bgColor rgb="FF0099FF"/>
      </patternFill>
    </fill>
    <fill>
      <patternFill patternType="solid">
        <fgColor rgb="FFF04E4D"/>
        <bgColor rgb="FFF04E4D"/>
      </patternFill>
    </fill>
    <fill>
      <patternFill patternType="solid">
        <fgColor rgb="FFF7A19A"/>
        <bgColor rgb="FFF7A19A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AA61A"/>
        <bgColor rgb="FFFAA61A"/>
      </patternFill>
    </fill>
    <fill>
      <patternFill patternType="solid">
        <fgColor rgb="FFDDDDDD"/>
        <bgColor rgb="FFDDDDDD"/>
      </patternFill>
    </fill>
    <fill>
      <patternFill patternType="solid">
        <fgColor rgb="FFFFF9AE"/>
        <bgColor rgb="FFFFF9AE"/>
      </patternFill>
    </fill>
  </fills>
  <borders count="27">
    <border>
      <left/>
      <right/>
      <top/>
      <bottom/>
      <diagonal/>
    </border>
    <border>
      <left style="thin">
        <color rgb="FF800000"/>
      </left>
      <right style="thin">
        <color rgb="FFFFFFFF"/>
      </right>
      <top style="thin">
        <color rgb="FF800000"/>
      </top>
      <bottom/>
      <diagonal/>
    </border>
    <border>
      <left style="thin">
        <color rgb="FFFFFFFF"/>
      </left>
      <right/>
      <top style="thin">
        <color rgb="FF800000"/>
      </top>
      <bottom/>
      <diagonal/>
    </border>
    <border>
      <left/>
      <right/>
      <top style="thin">
        <color rgb="FF800000"/>
      </top>
      <bottom/>
      <diagonal/>
    </border>
    <border>
      <left/>
      <right style="thin">
        <color rgb="FF800000"/>
      </right>
      <top style="thin">
        <color rgb="FF800000"/>
      </top>
      <bottom/>
      <diagonal/>
    </border>
    <border>
      <left style="thin">
        <color rgb="FF8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800000"/>
      </right>
      <top/>
      <bottom/>
      <diagonal/>
    </border>
    <border>
      <left style="thin">
        <color rgb="FF800000"/>
      </left>
      <right style="thin">
        <color rgb="FFFFFFFF"/>
      </right>
      <top/>
      <bottom style="thin">
        <color rgb="FF800000"/>
      </bottom>
      <diagonal/>
    </border>
    <border>
      <left style="thin">
        <color rgb="FFFFFFFF"/>
      </left>
      <right/>
      <top/>
      <bottom style="thin">
        <color rgb="FF800000"/>
      </bottom>
      <diagonal/>
    </border>
    <border>
      <left/>
      <right/>
      <top/>
      <bottom style="thin">
        <color rgb="FF800000"/>
      </bottom>
      <diagonal/>
    </border>
    <border>
      <left/>
      <right style="thin">
        <color rgb="FF800000"/>
      </right>
      <top/>
      <bottom style="thin">
        <color rgb="FF8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80"/>
      </top>
      <bottom style="thin">
        <color rgb="FF000080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E6E6E6"/>
      </right>
      <top/>
      <bottom/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000080"/>
      </top>
      <bottom style="medium">
        <color rgb="FF00008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0" fillId="2" borderId="0" xfId="0" applyFill="1"/>
    <xf numFmtId="0" fontId="0" fillId="2" borderId="7" xfId="0" applyFill="1" applyBorder="1"/>
    <xf numFmtId="0" fontId="3" fillId="2" borderId="5" xfId="0" applyFont="1" applyFill="1" applyBorder="1" applyAlignment="1">
      <alignment horizontal="center"/>
    </xf>
    <xf numFmtId="0" fontId="4" fillId="2" borderId="8" xfId="0" applyFont="1" applyFill="1" applyBorder="1"/>
    <xf numFmtId="0" fontId="4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2" borderId="12" xfId="0" applyFont="1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6" fillId="0" borderId="0" xfId="0" applyFont="1" applyAlignment="1">
      <alignment horizontal="right"/>
    </xf>
    <xf numFmtId="0" fontId="5" fillId="2" borderId="16" xfId="0" applyFont="1" applyFill="1" applyBorder="1"/>
    <xf numFmtId="0" fontId="0" fillId="2" borderId="6" xfId="0" applyFill="1" applyBorder="1"/>
    <xf numFmtId="0" fontId="0" fillId="2" borderId="0" xfId="0" applyFill="1" applyBorder="1"/>
    <xf numFmtId="0" fontId="0" fillId="2" borderId="17" xfId="0" applyFill="1" applyBorder="1"/>
    <xf numFmtId="0" fontId="7" fillId="0" borderId="0" xfId="0" applyFont="1" applyAlignment="1">
      <alignment horizontal="right"/>
    </xf>
    <xf numFmtId="0" fontId="5" fillId="2" borderId="16" xfId="0" applyFont="1" applyFill="1" applyBorder="1" applyAlignment="1">
      <alignment horizontal="center"/>
    </xf>
    <xf numFmtId="0" fontId="6" fillId="0" borderId="0" xfId="0" applyFont="1"/>
    <xf numFmtId="0" fontId="0" fillId="2" borderId="16" xfId="0" applyFill="1" applyBorder="1"/>
    <xf numFmtId="1" fontId="0" fillId="3" borderId="0" xfId="0" applyNumberFormat="1" applyFill="1" applyBorder="1"/>
    <xf numFmtId="0" fontId="8" fillId="3" borderId="0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4" borderId="22" xfId="0" applyFill="1" applyBorder="1"/>
    <xf numFmtId="1" fontId="0" fillId="5" borderId="22" xfId="0" applyNumberFormat="1" applyFill="1" applyBorder="1" applyAlignment="1">
      <alignment horizontal="right"/>
    </xf>
    <xf numFmtId="1" fontId="8" fillId="3" borderId="0" xfId="0" applyNumberFormat="1" applyFont="1" applyFill="1" applyBorder="1" applyAlignment="1">
      <alignment horizontal="right"/>
    </xf>
    <xf numFmtId="0" fontId="8" fillId="3" borderId="23" xfId="0" applyFont="1" applyFill="1" applyBorder="1"/>
    <xf numFmtId="0" fontId="9" fillId="2" borderId="0" xfId="0" applyFont="1" applyFill="1" applyBorder="1"/>
    <xf numFmtId="1" fontId="0" fillId="6" borderId="0" xfId="0" applyNumberFormat="1" applyFill="1" applyBorder="1"/>
    <xf numFmtId="1" fontId="8" fillId="3" borderId="24" xfId="0" applyNumberFormat="1" applyFont="1" applyFill="1" applyBorder="1"/>
    <xf numFmtId="0" fontId="8" fillId="3" borderId="25" xfId="0" applyFont="1" applyFill="1" applyBorder="1"/>
    <xf numFmtId="0" fontId="0" fillId="7" borderId="26" xfId="0" applyFill="1" applyBorder="1"/>
    <xf numFmtId="1" fontId="8" fillId="0" borderId="0" xfId="0" applyNumberFormat="1" applyFont="1"/>
    <xf numFmtId="0" fontId="8" fillId="0" borderId="0" xfId="0" applyFont="1"/>
    <xf numFmtId="0" fontId="0" fillId="5" borderId="22" xfId="0" applyFill="1" applyBorder="1"/>
    <xf numFmtId="0" fontId="10" fillId="8" borderId="0" xfId="0" applyFont="1" applyFill="1" applyAlignment="1">
      <alignment horizontal="left"/>
    </xf>
    <xf numFmtId="0" fontId="0" fillId="8" borderId="0" xfId="0" applyFill="1" applyAlignment="1">
      <alignment horizontal="right"/>
    </xf>
    <xf numFmtId="0" fontId="5" fillId="9" borderId="22" xfId="0" applyFont="1" applyFill="1" applyBorder="1"/>
    <xf numFmtId="0" fontId="0" fillId="9" borderId="0" xfId="0" applyFill="1"/>
    <xf numFmtId="0" fontId="11" fillId="6" borderId="0" xfId="0" applyFont="1" applyFill="1" applyBorder="1"/>
    <xf numFmtId="1" fontId="5" fillId="6" borderId="0" xfId="0" applyNumberFormat="1" applyFont="1" applyFill="1" applyBorder="1"/>
    <xf numFmtId="2" fontId="0" fillId="10" borderId="0" xfId="0" applyNumberFormat="1" applyFill="1"/>
    <xf numFmtId="0" fontId="0" fillId="11" borderId="0" xfId="0" applyFill="1"/>
    <xf numFmtId="2" fontId="5" fillId="10" borderId="0" xfId="0" applyNumberFormat="1" applyFont="1" applyFill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/>
              <a:t>bucles for/while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solidFill>
          <a:srgbClr val="CCCCCC"/>
        </a:solidFill>
        <a:ln>
          <a:solidFill>
            <a:srgbClr val="B3B3B3"/>
          </a:solidFill>
        </a:ln>
      </c:spPr>
    </c:floor>
    <c:sideWall>
      <c:thickness val="0"/>
      <c:spPr>
        <a:noFill/>
        <a:ln>
          <a:solidFill>
            <a:srgbClr val="B3B3B3"/>
          </a:solidFill>
          <a:prstDash val="solid"/>
        </a:ln>
      </c:spPr>
    </c:sideWall>
    <c:backWall>
      <c:thickness val="0"/>
      <c:spPr>
        <a:noFill/>
        <a:ln>
          <a:solidFill>
            <a:srgbClr val="B3B3B3"/>
          </a:solidFill>
          <a:prstDash val="solid"/>
        </a:ln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'L-2.9'!$A$76:$A$76</c:f>
              <c:strCache>
                <c:ptCount val="1"/>
                <c:pt idx="0">
                  <c:v>pcnt10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'L-2.9'!$B$76:$E$76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'L-2.9'!$A$75:$A$75</c:f>
              <c:strCache>
                <c:ptCount val="1"/>
                <c:pt idx="0">
                  <c:v>pcnt9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'L-2.9'!$B$75:$E$75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'L-2.9'!$A$74:$A$74</c:f>
              <c:strCache>
                <c:ptCount val="1"/>
                <c:pt idx="0">
                  <c:v>pcnt8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'L-2.9'!$B$74:$E$74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'L-2.9'!$A$73:$A$73</c:f>
              <c:strCache>
                <c:ptCount val="1"/>
                <c:pt idx="0">
                  <c:v>pcnt7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'L-2.9'!$B$73:$E$73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'L-2.9'!$A$72:$A$72</c:f>
              <c:strCache>
                <c:ptCount val="1"/>
                <c:pt idx="0">
                  <c:v>pcnt6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'L-2.9'!$B$72:$E$72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'L-2.9'!$A$71:$A$71</c:f>
              <c:strCache>
                <c:ptCount val="1"/>
                <c:pt idx="0">
                  <c:v>pcnt5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'L-2.9'!$B$71:$E$71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6"/>
          <c:order val="6"/>
          <c:tx>
            <c:strRef>
              <c:f>'L-2.9'!$A$70:$A$70</c:f>
              <c:strCache>
                <c:ptCount val="1"/>
                <c:pt idx="0">
                  <c:v>pcnt4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'L-2.9'!$B$70:$E$70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7"/>
          <c:order val="7"/>
          <c:tx>
            <c:strRef>
              <c:f>'L-2.9'!$A$69:$A$69</c:f>
              <c:strCache>
                <c:ptCount val="1"/>
                <c:pt idx="0">
                  <c:v>pcnt3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'L-2.9'!$B$69:$E$69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8"/>
          <c:order val="8"/>
          <c:tx>
            <c:strRef>
              <c:f>'L-2.9'!$A$68:$A$68</c:f>
              <c:strCache>
                <c:ptCount val="1"/>
                <c:pt idx="0">
                  <c:v>pcnt2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'L-2.9'!$B$68:$E$68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9"/>
          <c:order val="9"/>
          <c:tx>
            <c:strRef>
              <c:f>'L-2.9'!$A$67:$A$67</c:f>
              <c:strCache>
                <c:ptCount val="1"/>
                <c:pt idx="0">
                  <c:v>pcnt1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'L-2.9'!$B$67:$E$67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5858224"/>
        <c:axId val="495861752"/>
        <c:axId val="495801728"/>
      </c:bar3DChart>
      <c:valAx>
        <c:axId val="49586175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58224"/>
        <c:crossesAt val="0"/>
        <c:crossBetween val="between"/>
      </c:valAx>
      <c:catAx>
        <c:axId val="49585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61752"/>
        <c:crossesAt val="0"/>
        <c:auto val="1"/>
        <c:lblAlgn val="ctr"/>
        <c:lblOffset val="100"/>
        <c:noMultiLvlLbl val="0"/>
      </c:catAx>
      <c:serAx>
        <c:axId val="49580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61752"/>
        <c:crosses val="autoZero"/>
      </c:serAx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/>
              <a:t>sumas en árbol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solidFill>
          <a:srgbClr val="CCCCCC"/>
        </a:solidFill>
        <a:ln>
          <a:solidFill>
            <a:srgbClr val="B3B3B3"/>
          </a:solidFill>
        </a:ln>
      </c:spPr>
    </c:floor>
    <c:sideWall>
      <c:thickness val="0"/>
      <c:spPr>
        <a:noFill/>
        <a:ln>
          <a:solidFill>
            <a:srgbClr val="B3B3B3"/>
          </a:solidFill>
          <a:prstDash val="solid"/>
        </a:ln>
      </c:spPr>
    </c:sideWall>
    <c:backWall>
      <c:thickness val="0"/>
      <c:spPr>
        <a:noFill/>
        <a:ln>
          <a:solidFill>
            <a:srgbClr val="B3B3B3"/>
          </a:solidFill>
          <a:prstDash val="solid"/>
        </a:ln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'L-2.9'!$A$76:$A$76</c:f>
              <c:strCache>
                <c:ptCount val="1"/>
                <c:pt idx="0">
                  <c:v>pcnt10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'L-2.9'!$B$76:$E$76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'L-2.9'!$A$75:$A$75</c:f>
              <c:strCache>
                <c:ptCount val="1"/>
                <c:pt idx="0">
                  <c:v>pcnt9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'L-2.9'!$B$75:$E$75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'L-2.9'!$A$74:$A$74</c:f>
              <c:strCache>
                <c:ptCount val="1"/>
                <c:pt idx="0">
                  <c:v>pcnt8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'L-2.9'!$B$74:$E$74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'L-2.9'!$A$73:$A$73</c:f>
              <c:strCache>
                <c:ptCount val="1"/>
                <c:pt idx="0">
                  <c:v>pcnt7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'L-2.9'!$B$73:$E$73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'L-2.9'!$A$72:$A$72</c:f>
              <c:strCache>
                <c:ptCount val="1"/>
                <c:pt idx="0">
                  <c:v>pcnt6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'L-2.9'!$B$72:$E$72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'L-2.9'!$A$71:$A$71</c:f>
              <c:strCache>
                <c:ptCount val="1"/>
                <c:pt idx="0">
                  <c:v>pcnt5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'L-2.9'!$B$71:$E$71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5859400"/>
        <c:axId val="495860576"/>
        <c:axId val="495956784"/>
      </c:bar3DChart>
      <c:valAx>
        <c:axId val="49586057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59400"/>
        <c:crossesAt val="0"/>
        <c:crossBetween val="between"/>
      </c:valAx>
      <c:catAx>
        <c:axId val="49585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60576"/>
        <c:crossesAt val="0"/>
        <c:auto val="1"/>
        <c:lblAlgn val="ctr"/>
        <c:lblOffset val="100"/>
        <c:noMultiLvlLbl val="0"/>
      </c:catAx>
      <c:serAx>
        <c:axId val="495956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60576"/>
        <c:crosses val="autoZero"/>
      </c:serAx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title>
      <c:tx>
        <c:rich>
          <a:bodyPr/>
          <a:lstStyle/>
          <a:p>
            <a:pPr>
              <a:defRPr sz="1300" b="0"/>
            </a:pPr>
            <a:r>
              <a:rPr lang="es-ES"/>
              <a:t>repertorio multimedia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solidFill>
          <a:srgbClr val="CCCCCC"/>
        </a:solidFill>
        <a:ln>
          <a:solidFill>
            <a:srgbClr val="B3B3B3"/>
          </a:solidFill>
        </a:ln>
      </c:spPr>
    </c:floor>
    <c:sideWall>
      <c:thickness val="0"/>
      <c:spPr>
        <a:noFill/>
        <a:ln>
          <a:solidFill>
            <a:srgbClr val="B3B3B3"/>
          </a:solidFill>
          <a:prstDash val="solid"/>
        </a:ln>
      </c:spPr>
    </c:sideWall>
    <c:backWall>
      <c:thickness val="0"/>
      <c:spPr>
        <a:noFill/>
        <a:ln>
          <a:solidFill>
            <a:srgbClr val="B3B3B3"/>
          </a:solidFill>
          <a:prstDash val="solid"/>
        </a:ln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'L-2.9'!$A$76:$A$76</c:f>
              <c:strCache>
                <c:ptCount val="1"/>
                <c:pt idx="0">
                  <c:v>pcnt10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'L-2.9'!$B$76:$E$76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'L-2.9'!$A$75:$A$75</c:f>
              <c:strCache>
                <c:ptCount val="1"/>
                <c:pt idx="0">
                  <c:v>pcnt9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'L-2.9'!$B$75:$E$75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'L-2.9'!$A$74:$A$74</c:f>
              <c:strCache>
                <c:ptCount val="1"/>
                <c:pt idx="0">
                  <c:v>pcnt8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'L-2.9'!$B$66:$E$66</c:f>
              <c:strCache>
                <c:ptCount val="4"/>
                <c:pt idx="0">
                  <c:v>-O0</c:v>
                </c:pt>
                <c:pt idx="1">
                  <c:v>-Og</c:v>
                </c:pt>
                <c:pt idx="2">
                  <c:v>-O1</c:v>
                </c:pt>
                <c:pt idx="3">
                  <c:v>-O2</c:v>
                </c:pt>
              </c:strCache>
            </c:strRef>
          </c:cat>
          <c:val>
            <c:numRef>
              <c:f>'L-2.9'!$B$74:$E$74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5860968"/>
        <c:axId val="495860184"/>
        <c:axId val="495954240"/>
      </c:bar3DChart>
      <c:valAx>
        <c:axId val="49586018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60968"/>
        <c:crossesAt val="0"/>
        <c:crossBetween val="between"/>
      </c:valAx>
      <c:catAx>
        <c:axId val="4958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60184"/>
        <c:crossesAt val="0"/>
        <c:auto val="1"/>
        <c:lblAlgn val="ctr"/>
        <c:lblOffset val="100"/>
        <c:noMultiLvlLbl val="0"/>
      </c:catAx>
      <c:serAx>
        <c:axId val="495954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es-ES"/>
          </a:p>
        </c:txPr>
        <c:crossAx val="495860184"/>
        <c:crosses val="autoZero"/>
      </c:serAx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9022" y="11275567"/>
    <xdr:ext cx="4154805" cy="3394455"/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187190" y="11224387"/>
    <xdr:ext cx="3325368" cy="3484118"/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7517891" y="11215116"/>
    <xdr:ext cx="2924937" cy="3480816"/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abSelected="1" workbookViewId="0">
      <selection activeCell="Q7" sqref="Q7"/>
    </sheetView>
  </sheetViews>
  <sheetFormatPr baseColWidth="10" defaultRowHeight="14"/>
  <cols>
    <col min="1" max="1" width="24.83203125" customWidth="1"/>
    <col min="2" max="15" width="4.1640625" customWidth="1"/>
    <col min="16" max="16" width="4.75" customWidth="1"/>
    <col min="17" max="26" width="4.1640625" customWidth="1"/>
  </cols>
  <sheetData>
    <row r="1" spans="1:26" ht="11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4"/>
    </row>
    <row r="2" spans="1:26" ht="11.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8"/>
    </row>
    <row r="3" spans="1:26" ht="11.5" customHeight="1">
      <c r="A3" s="9"/>
      <c r="B3" s="6"/>
      <c r="C3" s="7"/>
      <c r="D3" s="7"/>
      <c r="E3" s="7"/>
      <c r="F3" s="7"/>
      <c r="G3" s="7"/>
      <c r="H3" s="7"/>
      <c r="I3" s="7"/>
      <c r="J3" s="7"/>
      <c r="K3" s="7"/>
      <c r="L3" s="8"/>
    </row>
    <row r="4" spans="1:26" ht="11.5" customHeight="1">
      <c r="A4" s="5"/>
      <c r="B4" s="6"/>
      <c r="C4" s="7"/>
      <c r="D4" s="7"/>
      <c r="E4" s="7"/>
      <c r="F4" s="7"/>
      <c r="G4" s="7"/>
      <c r="H4" s="7"/>
      <c r="I4" s="7"/>
      <c r="J4" s="7"/>
      <c r="K4" s="7"/>
      <c r="L4" s="8"/>
    </row>
    <row r="5" spans="1:26" ht="11.5" customHeight="1">
      <c r="A5" s="10"/>
      <c r="B5" s="11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spans="1:26" ht="11.5" customHeight="1"/>
    <row r="7" spans="1:26" ht="11.5" customHeight="1">
      <c r="A7" s="14"/>
      <c r="B7" s="15" t="s">
        <v>0</v>
      </c>
      <c r="C7" s="16"/>
      <c r="D7" s="16"/>
      <c r="E7" s="16"/>
      <c r="F7" s="16"/>
      <c r="G7" s="16"/>
      <c r="H7" s="16"/>
      <c r="I7" s="16"/>
      <c r="J7" s="16"/>
      <c r="K7" s="16"/>
      <c r="L7" s="17"/>
      <c r="Q7" s="18"/>
    </row>
    <row r="8" spans="1:26" ht="11.5" customHeight="1">
      <c r="A8" s="19"/>
      <c r="B8" s="20" t="s">
        <v>1</v>
      </c>
      <c r="C8" s="21"/>
      <c r="D8" s="21"/>
      <c r="E8" s="21"/>
      <c r="F8" s="21"/>
      <c r="G8" s="21"/>
      <c r="H8" s="21"/>
      <c r="I8" s="21"/>
      <c r="J8" s="21"/>
      <c r="K8" s="21"/>
      <c r="L8" s="22"/>
      <c r="Q8" s="23"/>
    </row>
    <row r="9" spans="1:26" ht="11.5" customHeight="1">
      <c r="A9" s="19"/>
      <c r="B9" s="20" t="s">
        <v>2</v>
      </c>
      <c r="C9" s="21"/>
      <c r="D9" s="21"/>
      <c r="E9" s="21"/>
      <c r="F9" s="21"/>
      <c r="G9" s="21"/>
      <c r="H9" s="21"/>
      <c r="I9" s="21"/>
      <c r="J9" s="21"/>
      <c r="K9" s="21"/>
      <c r="L9" s="22"/>
      <c r="Q9" s="18"/>
    </row>
    <row r="10" spans="1:26" ht="11.5" customHeight="1">
      <c r="A10" s="19"/>
      <c r="B10" s="20" t="s">
        <v>3</v>
      </c>
      <c r="C10" s="21"/>
      <c r="D10" s="21"/>
      <c r="E10" s="21"/>
      <c r="F10" s="21"/>
      <c r="G10" s="21"/>
      <c r="H10" s="21"/>
      <c r="I10" s="21"/>
      <c r="J10" s="21"/>
      <c r="K10" s="21"/>
      <c r="L10" s="22"/>
      <c r="Q10" s="18"/>
    </row>
    <row r="11" spans="1:26" ht="11.5" customHeight="1">
      <c r="A11" s="24" t="s">
        <v>4</v>
      </c>
      <c r="B11" s="20" t="s">
        <v>5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  <c r="Q11" s="18"/>
    </row>
    <row r="12" spans="1:26" ht="11.5" customHeight="1">
      <c r="A12" s="19"/>
      <c r="B12" s="20" t="s">
        <v>6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  <c r="Q12" s="18"/>
    </row>
    <row r="13" spans="1:26" ht="11.5" customHeight="1">
      <c r="A13" s="19"/>
      <c r="B13" s="20" t="s">
        <v>7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  <c r="N13" s="25"/>
    </row>
    <row r="14" spans="1:26" ht="11.5" customHeight="1">
      <c r="A14" s="19"/>
      <c r="B14" s="20" t="s">
        <v>8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  <c r="N14" s="25"/>
    </row>
    <row r="15" spans="1:26" ht="11.5" customHeight="1">
      <c r="A15" s="26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2"/>
      <c r="P15" s="27" t="s">
        <v>9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1.5" customHeight="1">
      <c r="A16" s="29"/>
      <c r="B16" s="30" t="s">
        <v>10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  <c r="P16" s="27" t="s">
        <v>11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1.5" customHeight="1" thickBot="1"/>
    <row r="18" spans="1:26" ht="11.5" customHeight="1">
      <c r="A18" s="33" t="s">
        <v>12</v>
      </c>
      <c r="B18" s="33">
        <v>0</v>
      </c>
      <c r="C18" s="33">
        <v>1</v>
      </c>
      <c r="D18" s="33">
        <v>2</v>
      </c>
      <c r="E18" s="33">
        <v>3</v>
      </c>
      <c r="F18" s="33">
        <v>4</v>
      </c>
      <c r="G18" s="33">
        <v>5</v>
      </c>
      <c r="H18" s="33">
        <v>6</v>
      </c>
      <c r="I18" s="33">
        <v>7</v>
      </c>
      <c r="J18" s="33">
        <v>8</v>
      </c>
      <c r="K18" s="33">
        <v>9</v>
      </c>
      <c r="L18" s="33">
        <v>10</v>
      </c>
      <c r="M18" s="34" t="s">
        <v>13</v>
      </c>
      <c r="O18" s="35" t="s">
        <v>13</v>
      </c>
      <c r="P18" s="36">
        <v>0</v>
      </c>
      <c r="Q18" s="36">
        <v>1</v>
      </c>
      <c r="R18" s="36">
        <v>2</v>
      </c>
      <c r="S18" s="36">
        <v>3</v>
      </c>
      <c r="T18" s="36">
        <v>4</v>
      </c>
      <c r="U18" s="36">
        <v>5</v>
      </c>
      <c r="V18" s="36">
        <v>6</v>
      </c>
      <c r="W18" s="36">
        <v>7</v>
      </c>
      <c r="X18" s="36">
        <v>8</v>
      </c>
      <c r="Y18" s="36">
        <v>9</v>
      </c>
      <c r="Z18" s="36">
        <v>10</v>
      </c>
    </row>
    <row r="19" spans="1:26" ht="11.5" customHeight="1">
      <c r="A19" s="37" t="s">
        <v>14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38" t="e">
        <f t="shared" ref="M19:M28" si="0">AVERAGE(C19:L19)</f>
        <v>#DIV/0!</v>
      </c>
      <c r="O19" s="39" t="e">
        <f t="shared" ref="O19:O28" si="1">AVERAGE(Q19:Z19)</f>
        <v>#DIV/0!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1.5" customHeight="1">
      <c r="A20" s="37" t="s">
        <v>15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8" t="e">
        <f t="shared" si="0"/>
        <v>#DIV/0!</v>
      </c>
      <c r="O20" s="39" t="e">
        <f t="shared" si="1"/>
        <v>#DIV/0!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1.5" customHeight="1">
      <c r="A21" s="37" t="s">
        <v>16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38" t="e">
        <f t="shared" si="0"/>
        <v>#DIV/0!</v>
      </c>
      <c r="O21" s="39" t="e">
        <f t="shared" si="1"/>
        <v>#DIV/0!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1.5" customHeight="1">
      <c r="A22" s="37" t="s">
        <v>17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38" t="e">
        <f t="shared" si="0"/>
        <v>#DIV/0!</v>
      </c>
      <c r="O22" s="39" t="e">
        <f t="shared" si="1"/>
        <v>#DIV/0!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1.5" customHeight="1">
      <c r="A23" s="37" t="s">
        <v>18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38" t="e">
        <f t="shared" si="0"/>
        <v>#DIV/0!</v>
      </c>
      <c r="O23" s="39" t="e">
        <f t="shared" si="1"/>
        <v>#DIV/0!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1.5" customHeight="1">
      <c r="A24" s="37" t="s">
        <v>19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38" t="e">
        <f t="shared" si="0"/>
        <v>#DIV/0!</v>
      </c>
      <c r="O24" s="39" t="e">
        <f t="shared" si="1"/>
        <v>#DIV/0!</v>
      </c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1.5" customHeight="1">
      <c r="A25" s="37" t="s">
        <v>20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38" t="e">
        <f t="shared" si="0"/>
        <v>#DIV/0!</v>
      </c>
      <c r="O25" s="39" t="e">
        <f t="shared" si="1"/>
        <v>#DIV/0!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1.5" customHeight="1">
      <c r="A26" s="37" t="s">
        <v>21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38" t="e">
        <f t="shared" si="0"/>
        <v>#DIV/0!</v>
      </c>
      <c r="O26" s="39" t="e">
        <f t="shared" si="1"/>
        <v>#DIV/0!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1.5" customHeight="1">
      <c r="A27" s="37" t="s">
        <v>22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38" t="e">
        <f t="shared" si="0"/>
        <v>#DIV/0!</v>
      </c>
      <c r="O27" s="39" t="e">
        <f t="shared" si="1"/>
        <v>#DIV/0!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1.5" customHeight="1">
      <c r="A28" s="37" t="s">
        <v>23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38" t="e">
        <f t="shared" si="0"/>
        <v>#DIV/0!</v>
      </c>
      <c r="O28" s="39" t="e">
        <f t="shared" si="1"/>
        <v>#DIV/0!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1.5" customHeight="1" thickBo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O29" s="42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1.5" customHeight="1">
      <c r="A30" s="33" t="s">
        <v>24</v>
      </c>
      <c r="B30" s="33">
        <v>0</v>
      </c>
      <c r="C30" s="33">
        <v>1</v>
      </c>
      <c r="D30" s="33">
        <v>2</v>
      </c>
      <c r="E30" s="33">
        <v>3</v>
      </c>
      <c r="F30" s="33">
        <v>4</v>
      </c>
      <c r="G30" s="33">
        <v>5</v>
      </c>
      <c r="H30" s="33">
        <v>6</v>
      </c>
      <c r="I30" s="33">
        <v>7</v>
      </c>
      <c r="J30" s="33">
        <v>8</v>
      </c>
      <c r="K30" s="33">
        <v>9</v>
      </c>
      <c r="L30" s="33">
        <v>10</v>
      </c>
      <c r="M30" s="34" t="s">
        <v>13</v>
      </c>
      <c r="O30" s="35" t="s">
        <v>13</v>
      </c>
      <c r="P30" s="36">
        <v>0</v>
      </c>
      <c r="Q30" s="36">
        <v>1</v>
      </c>
      <c r="R30" s="36">
        <v>2</v>
      </c>
      <c r="S30" s="36">
        <v>3</v>
      </c>
      <c r="T30" s="36">
        <v>4</v>
      </c>
      <c r="U30" s="36">
        <v>5</v>
      </c>
      <c r="V30" s="36">
        <v>6</v>
      </c>
      <c r="W30" s="36">
        <v>7</v>
      </c>
      <c r="X30" s="36">
        <v>8</v>
      </c>
      <c r="Y30" s="36">
        <v>9</v>
      </c>
      <c r="Z30" s="36">
        <v>10</v>
      </c>
    </row>
    <row r="31" spans="1:26" ht="11.5" customHeight="1">
      <c r="A31" s="37" t="s">
        <v>14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38" t="e">
        <f t="shared" ref="M31:M40" si="2">AVERAGE(C31:L31)</f>
        <v>#DIV/0!</v>
      </c>
      <c r="O31" s="39" t="e">
        <f t="shared" ref="O31:O40" si="3">AVERAGE(Q31:Z31)</f>
        <v>#DIV/0!</v>
      </c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1.5" customHeight="1">
      <c r="A32" s="37" t="s">
        <v>15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38" t="e">
        <f t="shared" si="2"/>
        <v>#DIV/0!</v>
      </c>
      <c r="O32" s="39" t="e">
        <f t="shared" si="3"/>
        <v>#DIV/0!</v>
      </c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1.5" customHeight="1">
      <c r="A33" s="37" t="s">
        <v>16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38" t="e">
        <f t="shared" si="2"/>
        <v>#DIV/0!</v>
      </c>
      <c r="O33" s="39" t="e">
        <f t="shared" si="3"/>
        <v>#DIV/0!</v>
      </c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1.5" customHeight="1">
      <c r="A34" s="37" t="s">
        <v>17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38" t="e">
        <f t="shared" si="2"/>
        <v>#DIV/0!</v>
      </c>
      <c r="O34" s="39" t="e">
        <f t="shared" si="3"/>
        <v>#DIV/0!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1.5" customHeight="1">
      <c r="A35" s="37" t="s">
        <v>18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38" t="e">
        <f t="shared" si="2"/>
        <v>#DIV/0!</v>
      </c>
      <c r="O35" s="39" t="e">
        <f t="shared" si="3"/>
        <v>#DIV/0!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1.5" customHeight="1">
      <c r="A36" s="37" t="s">
        <v>19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38" t="e">
        <f t="shared" si="2"/>
        <v>#DIV/0!</v>
      </c>
      <c r="O36" s="39" t="e">
        <f t="shared" si="3"/>
        <v>#DIV/0!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1.5" customHeight="1">
      <c r="A37" s="37" t="s">
        <v>20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38" t="e">
        <f t="shared" si="2"/>
        <v>#DIV/0!</v>
      </c>
      <c r="O37" s="39" t="e">
        <f t="shared" si="3"/>
        <v>#DIV/0!</v>
      </c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1.5" customHeight="1">
      <c r="A38" s="37" t="s">
        <v>21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38" t="e">
        <f t="shared" si="2"/>
        <v>#DIV/0!</v>
      </c>
      <c r="O38" s="39" t="e">
        <f t="shared" si="3"/>
        <v>#DIV/0!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1.5" customHeight="1">
      <c r="A39" s="37" t="s">
        <v>22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38" t="e">
        <f t="shared" si="2"/>
        <v>#DIV/0!</v>
      </c>
      <c r="O39" s="39" t="e">
        <f t="shared" si="3"/>
        <v>#DIV/0!</v>
      </c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1.5" customHeight="1">
      <c r="A40" s="37" t="s">
        <v>23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38" t="e">
        <f t="shared" si="2"/>
        <v>#DIV/0!</v>
      </c>
      <c r="O40" s="39" t="e">
        <f t="shared" si="3"/>
        <v>#DIV/0!</v>
      </c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1.5" customHeight="1" thickBo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</row>
    <row r="42" spans="1:26" ht="11.5" customHeight="1">
      <c r="A42" s="33" t="s">
        <v>25</v>
      </c>
      <c r="B42" s="33">
        <v>0</v>
      </c>
      <c r="C42" s="33">
        <v>1</v>
      </c>
      <c r="D42" s="33">
        <v>2</v>
      </c>
      <c r="E42" s="33">
        <v>3</v>
      </c>
      <c r="F42" s="33">
        <v>4</v>
      </c>
      <c r="G42" s="33">
        <v>5</v>
      </c>
      <c r="H42" s="33">
        <v>6</v>
      </c>
      <c r="I42" s="33">
        <v>7</v>
      </c>
      <c r="J42" s="33">
        <v>8</v>
      </c>
      <c r="K42" s="33">
        <v>9</v>
      </c>
      <c r="L42" s="33">
        <v>10</v>
      </c>
      <c r="M42" s="34" t="s">
        <v>13</v>
      </c>
      <c r="O42" s="35" t="s">
        <v>13</v>
      </c>
      <c r="P42" s="36">
        <v>0</v>
      </c>
      <c r="Q42" s="36">
        <v>1</v>
      </c>
      <c r="R42" s="36">
        <v>2</v>
      </c>
      <c r="S42" s="36">
        <v>3</v>
      </c>
      <c r="T42" s="36">
        <v>4</v>
      </c>
      <c r="U42" s="36">
        <v>5</v>
      </c>
      <c r="V42" s="36">
        <v>6</v>
      </c>
      <c r="W42" s="36">
        <v>7</v>
      </c>
      <c r="X42" s="36">
        <v>8</v>
      </c>
      <c r="Y42" s="36">
        <v>9</v>
      </c>
      <c r="Z42" s="36">
        <v>10</v>
      </c>
    </row>
    <row r="43" spans="1:26" ht="11.5" customHeight="1">
      <c r="A43" s="37" t="s">
        <v>14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38" t="e">
        <f t="shared" ref="M43:M52" si="4">AVERAGE(C43:L43)</f>
        <v>#DIV/0!</v>
      </c>
      <c r="O43" s="39" t="e">
        <f t="shared" ref="O43:O52" si="5">AVERAGE(Q43:Z43)</f>
        <v>#DIV/0!</v>
      </c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1.5" customHeight="1">
      <c r="A44" s="37" t="s">
        <v>15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38" t="e">
        <f t="shared" si="4"/>
        <v>#DIV/0!</v>
      </c>
      <c r="O44" s="39" t="e">
        <f t="shared" si="5"/>
        <v>#DIV/0!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1.5" customHeight="1">
      <c r="A45" s="37" t="s">
        <v>16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8" t="e">
        <f t="shared" si="4"/>
        <v>#DIV/0!</v>
      </c>
      <c r="O45" s="39" t="e">
        <f t="shared" si="5"/>
        <v>#DIV/0!</v>
      </c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1.5" customHeight="1">
      <c r="A46" s="37" t="s">
        <v>17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38" t="e">
        <f t="shared" si="4"/>
        <v>#DIV/0!</v>
      </c>
      <c r="O46" s="39" t="e">
        <f t="shared" si="5"/>
        <v>#DIV/0!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1.5" customHeight="1">
      <c r="A47" s="37" t="s">
        <v>18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38" t="e">
        <f t="shared" si="4"/>
        <v>#DIV/0!</v>
      </c>
      <c r="O47" s="39" t="e">
        <f t="shared" si="5"/>
        <v>#DIV/0!</v>
      </c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1.5" customHeight="1">
      <c r="A48" s="37" t="s">
        <v>19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38" t="e">
        <f t="shared" si="4"/>
        <v>#DIV/0!</v>
      </c>
      <c r="O48" s="39" t="e">
        <f t="shared" si="5"/>
        <v>#DIV/0!</v>
      </c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1.5" customHeight="1">
      <c r="A49" s="37" t="s">
        <v>20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38" t="e">
        <f t="shared" si="4"/>
        <v>#DIV/0!</v>
      </c>
      <c r="O49" s="39" t="e">
        <f t="shared" si="5"/>
        <v>#DIV/0!</v>
      </c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1.5" customHeight="1">
      <c r="A50" s="37" t="s">
        <v>21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38" t="e">
        <f t="shared" si="4"/>
        <v>#DIV/0!</v>
      </c>
      <c r="O50" s="39" t="e">
        <f t="shared" si="5"/>
        <v>#DIV/0!</v>
      </c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1.5" customHeight="1">
      <c r="A51" s="37" t="s">
        <v>22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38" t="e">
        <f t="shared" si="4"/>
        <v>#DIV/0!</v>
      </c>
      <c r="O51" s="39" t="e">
        <f t="shared" si="5"/>
        <v>#DIV/0!</v>
      </c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1.5" customHeight="1">
      <c r="A52" s="37" t="s">
        <v>23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38" t="e">
        <f t="shared" si="4"/>
        <v>#DIV/0!</v>
      </c>
      <c r="O52" s="39" t="e">
        <f t="shared" si="5"/>
        <v>#DIV/0!</v>
      </c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1.5" customHeight="1" thickBo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</row>
    <row r="54" spans="1:26" ht="11.5" customHeight="1">
      <c r="A54" s="33" t="s">
        <v>26</v>
      </c>
      <c r="B54" s="33">
        <v>0</v>
      </c>
      <c r="C54" s="33">
        <v>1</v>
      </c>
      <c r="D54" s="33">
        <v>2</v>
      </c>
      <c r="E54" s="33">
        <v>3</v>
      </c>
      <c r="F54" s="33">
        <v>4</v>
      </c>
      <c r="G54" s="33">
        <v>5</v>
      </c>
      <c r="H54" s="33">
        <v>6</v>
      </c>
      <c r="I54" s="33">
        <v>7</v>
      </c>
      <c r="J54" s="33">
        <v>8</v>
      </c>
      <c r="K54" s="33">
        <v>9</v>
      </c>
      <c r="L54" s="33">
        <v>10</v>
      </c>
      <c r="M54" s="34" t="s">
        <v>13</v>
      </c>
      <c r="O54" s="35" t="s">
        <v>13</v>
      </c>
      <c r="P54" s="36">
        <v>0</v>
      </c>
      <c r="Q54" s="36">
        <v>1</v>
      </c>
      <c r="R54" s="36">
        <v>2</v>
      </c>
      <c r="S54" s="36">
        <v>3</v>
      </c>
      <c r="T54" s="36">
        <v>4</v>
      </c>
      <c r="U54" s="36">
        <v>5</v>
      </c>
      <c r="V54" s="36">
        <v>6</v>
      </c>
      <c r="W54" s="36">
        <v>7</v>
      </c>
      <c r="X54" s="36">
        <v>8</v>
      </c>
      <c r="Y54" s="36">
        <v>9</v>
      </c>
      <c r="Z54" s="36">
        <v>10</v>
      </c>
    </row>
    <row r="55" spans="1:26" ht="11.5" customHeight="1">
      <c r="A55" s="37" t="s">
        <v>14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38" t="e">
        <f t="shared" ref="M55:M64" si="6">AVERAGE(C55:L55)</f>
        <v>#DIV/0!</v>
      </c>
      <c r="O55" s="39" t="e">
        <f t="shared" ref="O55:O64" si="7">AVERAGE(Q55:Z55)</f>
        <v>#DIV/0!</v>
      </c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1.5" customHeight="1">
      <c r="A56" s="37" t="s">
        <v>15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38" t="e">
        <f t="shared" si="6"/>
        <v>#DIV/0!</v>
      </c>
      <c r="O56" s="39" t="e">
        <f t="shared" si="7"/>
        <v>#DIV/0!</v>
      </c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1.5" customHeight="1">
      <c r="A57" s="37" t="s">
        <v>16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38" t="e">
        <f t="shared" si="6"/>
        <v>#DIV/0!</v>
      </c>
      <c r="O57" s="39" t="e">
        <f t="shared" si="7"/>
        <v>#DIV/0!</v>
      </c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1.5" customHeight="1">
      <c r="A58" s="37" t="s">
        <v>17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38" t="e">
        <f t="shared" si="6"/>
        <v>#DIV/0!</v>
      </c>
      <c r="O58" s="39" t="e">
        <f t="shared" si="7"/>
        <v>#DIV/0!</v>
      </c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1.5" customHeight="1">
      <c r="A59" s="37" t="s">
        <v>18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38" t="e">
        <f t="shared" si="6"/>
        <v>#DIV/0!</v>
      </c>
      <c r="O59" s="39" t="e">
        <f t="shared" si="7"/>
        <v>#DIV/0!</v>
      </c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1.5" customHeight="1">
      <c r="A60" s="37" t="s">
        <v>19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38" t="e">
        <f t="shared" si="6"/>
        <v>#DIV/0!</v>
      </c>
      <c r="O60" s="39" t="e">
        <f t="shared" si="7"/>
        <v>#DIV/0!</v>
      </c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1.5" customHeight="1">
      <c r="A61" s="37" t="s">
        <v>20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38" t="e">
        <f t="shared" si="6"/>
        <v>#DIV/0!</v>
      </c>
      <c r="O61" s="39" t="e">
        <f t="shared" si="7"/>
        <v>#DIV/0!</v>
      </c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1.5" customHeight="1">
      <c r="A62" s="37" t="s">
        <v>21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38" t="e">
        <f t="shared" si="6"/>
        <v>#DIV/0!</v>
      </c>
      <c r="O62" s="39" t="e">
        <f t="shared" si="7"/>
        <v>#DIV/0!</v>
      </c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1.5" customHeight="1">
      <c r="A63" s="37" t="s">
        <v>22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38" t="e">
        <f t="shared" si="6"/>
        <v>#DIV/0!</v>
      </c>
      <c r="O63" s="39" t="e">
        <f t="shared" si="7"/>
        <v>#DIV/0!</v>
      </c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1.5" customHeight="1">
      <c r="A64" s="37" t="s">
        <v>23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38" t="e">
        <f t="shared" si="6"/>
        <v>#DIV/0!</v>
      </c>
      <c r="O64" s="39" t="e">
        <f t="shared" si="7"/>
        <v>#DIV/0!</v>
      </c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17" ht="11.5" customHeight="1" thickBo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1:17" ht="11.5" customHeight="1">
      <c r="A66" s="44" t="s">
        <v>4</v>
      </c>
      <c r="B66" s="44" t="s">
        <v>27</v>
      </c>
      <c r="C66" s="44" t="s">
        <v>28</v>
      </c>
      <c r="D66" s="44" t="s">
        <v>29</v>
      </c>
      <c r="E66" s="44" t="s">
        <v>30</v>
      </c>
      <c r="F66" s="45"/>
      <c r="G66" s="46" t="s">
        <v>31</v>
      </c>
      <c r="H66" s="44" t="s">
        <v>27</v>
      </c>
      <c r="I66" s="44" t="s">
        <v>28</v>
      </c>
      <c r="J66" s="44" t="s">
        <v>29</v>
      </c>
      <c r="K66" s="44" t="s">
        <v>30</v>
      </c>
      <c r="M66" s="47" t="s">
        <v>32</v>
      </c>
      <c r="N66" s="48"/>
      <c r="O66" s="48"/>
      <c r="P66" s="48"/>
      <c r="Q66" s="48"/>
    </row>
    <row r="67" spans="1:17" ht="11.5" customHeight="1">
      <c r="A67" s="49" t="s">
        <v>33</v>
      </c>
      <c r="B67" s="38" t="e">
        <f t="shared" ref="B67:B76" si="8">M19</f>
        <v>#DIV/0!</v>
      </c>
      <c r="C67" s="38" t="e">
        <f t="shared" ref="C67:C76" si="9">M31</f>
        <v>#DIV/0!</v>
      </c>
      <c r="D67" s="50" t="e">
        <f t="shared" ref="D67:D76" si="10">M43</f>
        <v>#DIV/0!</v>
      </c>
      <c r="E67" s="38" t="e">
        <f t="shared" ref="E67:E76" si="11">M55</f>
        <v>#DIV/0!</v>
      </c>
      <c r="G67" s="49" t="s">
        <v>33</v>
      </c>
      <c r="H67" s="51"/>
      <c r="I67" s="51"/>
      <c r="J67" s="51" t="e">
        <f>$D$67/D67</f>
        <v>#DIV/0!</v>
      </c>
      <c r="K67" s="51"/>
      <c r="M67" s="52"/>
      <c r="N67" s="52" t="s">
        <v>34</v>
      </c>
      <c r="O67" s="52"/>
      <c r="P67" s="52"/>
      <c r="Q67" s="52"/>
    </row>
    <row r="68" spans="1:17" ht="11.5" customHeight="1">
      <c r="A68" s="49" t="s">
        <v>35</v>
      </c>
      <c r="B68" s="38" t="e">
        <f t="shared" si="8"/>
        <v>#DIV/0!</v>
      </c>
      <c r="C68" s="50" t="e">
        <f t="shared" si="9"/>
        <v>#DIV/0!</v>
      </c>
      <c r="D68" s="38" t="e">
        <f t="shared" si="10"/>
        <v>#DIV/0!</v>
      </c>
      <c r="E68" s="38" t="e">
        <f t="shared" si="11"/>
        <v>#DIV/0!</v>
      </c>
      <c r="G68" s="49" t="s">
        <v>35</v>
      </c>
      <c r="H68" s="51"/>
      <c r="I68" s="53" t="e">
        <f>$D$67/C68</f>
        <v>#DIV/0!</v>
      </c>
      <c r="J68" s="51"/>
      <c r="K68" s="51"/>
      <c r="M68" s="52" t="s">
        <v>36</v>
      </c>
      <c r="N68" s="52"/>
      <c r="O68" s="52"/>
      <c r="P68" s="52"/>
      <c r="Q68" s="52"/>
    </row>
    <row r="69" spans="1:17" ht="11.5" customHeight="1">
      <c r="A69" s="49" t="s">
        <v>37</v>
      </c>
      <c r="B69" s="38" t="e">
        <f t="shared" si="8"/>
        <v>#DIV/0!</v>
      </c>
      <c r="C69" s="38" t="e">
        <f t="shared" si="9"/>
        <v>#DIV/0!</v>
      </c>
      <c r="D69" s="50" t="e">
        <f t="shared" si="10"/>
        <v>#DIV/0!</v>
      </c>
      <c r="E69" s="38" t="e">
        <f t="shared" si="11"/>
        <v>#DIV/0!</v>
      </c>
      <c r="G69" s="49" t="s">
        <v>37</v>
      </c>
      <c r="H69" s="51"/>
      <c r="I69" s="51"/>
      <c r="J69" s="51" t="e">
        <f>$D$67/D69</f>
        <v>#DIV/0!</v>
      </c>
      <c r="K69" s="51"/>
      <c r="M69" s="52"/>
      <c r="N69" s="52" t="s">
        <v>38</v>
      </c>
      <c r="O69" s="52"/>
      <c r="P69" s="52"/>
      <c r="Q69" s="52"/>
    </row>
    <row r="70" spans="1:17" ht="11.5" customHeight="1">
      <c r="A70" s="49" t="s">
        <v>39</v>
      </c>
      <c r="B70" s="38" t="e">
        <f t="shared" si="8"/>
        <v>#DIV/0!</v>
      </c>
      <c r="C70" s="38" t="e">
        <f t="shared" si="9"/>
        <v>#DIV/0!</v>
      </c>
      <c r="D70" s="50" t="e">
        <f t="shared" si="10"/>
        <v>#DIV/0!</v>
      </c>
      <c r="E70" s="38" t="e">
        <f t="shared" si="11"/>
        <v>#DIV/0!</v>
      </c>
      <c r="G70" s="49" t="s">
        <v>39</v>
      </c>
      <c r="H70" s="51"/>
      <c r="I70" s="51"/>
      <c r="J70" s="51" t="e">
        <f>$D$67/D70</f>
        <v>#DIV/0!</v>
      </c>
      <c r="K70" s="51"/>
      <c r="M70" s="52"/>
      <c r="N70" s="52" t="s">
        <v>40</v>
      </c>
      <c r="O70" s="52"/>
      <c r="P70" s="52"/>
      <c r="Q70" s="52"/>
    </row>
    <row r="71" spans="1:17" ht="11.5" customHeight="1">
      <c r="A71" s="49" t="s">
        <v>41</v>
      </c>
      <c r="B71" s="38" t="e">
        <f t="shared" si="8"/>
        <v>#DIV/0!</v>
      </c>
      <c r="C71" s="38" t="e">
        <f t="shared" si="9"/>
        <v>#DIV/0!</v>
      </c>
      <c r="D71" s="38" t="e">
        <f t="shared" si="10"/>
        <v>#DIV/0!</v>
      </c>
      <c r="E71" s="50" t="e">
        <f t="shared" si="11"/>
        <v>#DIV/0!</v>
      </c>
      <c r="G71" s="49" t="s">
        <v>41</v>
      </c>
      <c r="H71" s="51"/>
      <c r="I71" s="51"/>
      <c r="J71" s="51"/>
      <c r="K71" s="53" t="e">
        <f t="shared" ref="K71:K76" si="12">$D$67/E71</f>
        <v>#DIV/0!</v>
      </c>
      <c r="M71" s="52" t="s">
        <v>42</v>
      </c>
      <c r="N71" s="52"/>
      <c r="O71" s="52"/>
      <c r="P71" s="52"/>
      <c r="Q71" s="52"/>
    </row>
    <row r="72" spans="1:17" ht="11.5" customHeight="1">
      <c r="A72" s="49" t="s">
        <v>43</v>
      </c>
      <c r="B72" s="38" t="e">
        <f t="shared" si="8"/>
        <v>#DIV/0!</v>
      </c>
      <c r="C72" s="38" t="e">
        <f t="shared" si="9"/>
        <v>#DIV/0!</v>
      </c>
      <c r="D72" s="38" t="e">
        <f t="shared" si="10"/>
        <v>#DIV/0!</v>
      </c>
      <c r="E72" s="50" t="e">
        <f t="shared" si="11"/>
        <v>#DIV/0!</v>
      </c>
      <c r="G72" s="49" t="s">
        <v>43</v>
      </c>
      <c r="H72" s="51"/>
      <c r="I72" s="51"/>
      <c r="J72" s="51"/>
      <c r="K72" s="53" t="e">
        <f t="shared" si="12"/>
        <v>#DIV/0!</v>
      </c>
      <c r="M72" s="52"/>
      <c r="N72" s="52" t="s">
        <v>44</v>
      </c>
      <c r="O72" s="52"/>
      <c r="P72" s="52"/>
      <c r="Q72" s="52"/>
    </row>
    <row r="73" spans="1:17" ht="11.5" customHeight="1">
      <c r="A73" s="49" t="s">
        <v>45</v>
      </c>
      <c r="B73" s="38" t="e">
        <f t="shared" si="8"/>
        <v>#DIV/0!</v>
      </c>
      <c r="C73" s="38" t="e">
        <f t="shared" si="9"/>
        <v>#DIV/0!</v>
      </c>
      <c r="D73" s="38" t="e">
        <f t="shared" si="10"/>
        <v>#DIV/0!</v>
      </c>
      <c r="E73" s="50" t="e">
        <f t="shared" si="11"/>
        <v>#DIV/0!</v>
      </c>
      <c r="G73" s="49" t="s">
        <v>45</v>
      </c>
      <c r="H73" s="51"/>
      <c r="I73" s="51"/>
      <c r="J73" s="51"/>
      <c r="K73" s="53" t="e">
        <f t="shared" si="12"/>
        <v>#DIV/0!</v>
      </c>
      <c r="M73" s="52"/>
      <c r="N73" s="52" t="s">
        <v>46</v>
      </c>
      <c r="O73" s="52"/>
      <c r="P73" s="52"/>
      <c r="Q73" s="52"/>
    </row>
    <row r="74" spans="1:17" ht="11.5" customHeight="1">
      <c r="A74" s="49" t="s">
        <v>47</v>
      </c>
      <c r="B74" s="38" t="e">
        <f t="shared" si="8"/>
        <v>#DIV/0!</v>
      </c>
      <c r="C74" s="38" t="e">
        <f t="shared" si="9"/>
        <v>#DIV/0!</v>
      </c>
      <c r="D74" s="38" t="e">
        <f t="shared" si="10"/>
        <v>#DIV/0!</v>
      </c>
      <c r="E74" s="50" t="e">
        <f t="shared" si="11"/>
        <v>#DIV/0!</v>
      </c>
      <c r="G74" s="49" t="s">
        <v>47</v>
      </c>
      <c r="H74" s="51"/>
      <c r="I74" s="51"/>
      <c r="J74" s="51"/>
      <c r="K74" s="53" t="e">
        <f t="shared" si="12"/>
        <v>#DIV/0!</v>
      </c>
      <c r="M74" s="52" t="s">
        <v>48</v>
      </c>
      <c r="N74" s="52"/>
      <c r="O74" s="52"/>
      <c r="P74" s="52"/>
      <c r="Q74" s="52"/>
    </row>
    <row r="75" spans="1:17" ht="11.5" customHeight="1">
      <c r="A75" s="49" t="s">
        <v>49</v>
      </c>
      <c r="B75" s="38" t="e">
        <f t="shared" si="8"/>
        <v>#DIV/0!</v>
      </c>
      <c r="C75" s="38" t="e">
        <f t="shared" si="9"/>
        <v>#DIV/0!</v>
      </c>
      <c r="D75" s="38" t="e">
        <f t="shared" si="10"/>
        <v>#DIV/0!</v>
      </c>
      <c r="E75" s="50" t="e">
        <f t="shared" si="11"/>
        <v>#DIV/0!</v>
      </c>
      <c r="G75" s="49" t="s">
        <v>49</v>
      </c>
      <c r="H75" s="51"/>
      <c r="I75" s="51"/>
      <c r="J75" s="51"/>
      <c r="K75" s="51" t="e">
        <f t="shared" si="12"/>
        <v>#DIV/0!</v>
      </c>
      <c r="M75" s="52"/>
      <c r="N75" s="52" t="s">
        <v>50</v>
      </c>
      <c r="O75" s="52"/>
      <c r="P75" s="52"/>
      <c r="Q75" s="52"/>
    </row>
    <row r="76" spans="1:17" ht="11.5" customHeight="1">
      <c r="A76" s="49" t="s">
        <v>51</v>
      </c>
      <c r="B76" s="38" t="e">
        <f t="shared" si="8"/>
        <v>#DIV/0!</v>
      </c>
      <c r="C76" s="50" t="e">
        <f t="shared" si="9"/>
        <v>#DIV/0!</v>
      </c>
      <c r="D76" s="50" t="e">
        <f t="shared" si="10"/>
        <v>#DIV/0!</v>
      </c>
      <c r="E76" s="50" t="e">
        <f t="shared" si="11"/>
        <v>#DIV/0!</v>
      </c>
      <c r="G76" s="49" t="s">
        <v>51</v>
      </c>
      <c r="H76" s="51"/>
      <c r="I76" s="53" t="e">
        <f>$D$67/C76</f>
        <v>#DIV/0!</v>
      </c>
      <c r="J76" s="51" t="e">
        <f>$D$67/D76</f>
        <v>#DIV/0!</v>
      </c>
      <c r="K76" s="51" t="e">
        <f t="shared" si="12"/>
        <v>#DIV/0!</v>
      </c>
      <c r="M76" s="52"/>
      <c r="N76" s="52" t="s">
        <v>52</v>
      </c>
      <c r="O76" s="52"/>
      <c r="P76" s="52"/>
      <c r="Q76" s="52"/>
    </row>
    <row r="77" spans="1:17" ht="11.5" customHeight="1" thickBot="1">
      <c r="A77" s="41"/>
      <c r="B77" s="41"/>
      <c r="C77" s="41"/>
      <c r="D77" s="41"/>
    </row>
    <row r="78" spans="1:17" ht="11.5" customHeight="1"/>
    <row r="79" spans="1:17" ht="11.5" customHeight="1"/>
    <row r="80" spans="1:17" ht="11.5" customHeight="1"/>
    <row r="81" ht="11.5" customHeight="1"/>
    <row r="82" ht="11.5" customHeight="1"/>
    <row r="83" ht="11.5" customHeight="1"/>
    <row r="84" ht="11.5" customHeight="1"/>
    <row r="85" ht="11.5" customHeight="1"/>
  </sheetData>
  <pageMargins left="0.25" right="0.25" top="0.65" bottom="0.64416666666666667" header="0.25" footer="0.25"/>
  <pageSetup paperSize="0" scale="66" fitToWidth="0" fitToHeight="0" pageOrder="overThenDown" orientation="portrait" useFirstPageNumber="1" horizontalDpi="0" verticalDpi="0" copies="0"/>
  <headerFooter alignWithMargins="0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1041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L-2.9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</dc:creator>
  <cp:lastModifiedBy>HP Inc.</cp:lastModifiedBy>
  <cp:revision>83</cp:revision>
  <dcterms:created xsi:type="dcterms:W3CDTF">2011-11-08T19:26:41Z</dcterms:created>
  <dcterms:modified xsi:type="dcterms:W3CDTF">2023-11-08T09:47:26Z</dcterms:modified>
</cp:coreProperties>
</file>