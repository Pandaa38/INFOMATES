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OCUMENTOS\INFOMATES\UNI\MATES\Modelos\"/>
    </mc:Choice>
  </mc:AlternateContent>
  <xr:revisionPtr revIDLastSave="0" documentId="13_ncr:1_{76F01BA7-A392-4A8C-A2B5-3E11E3F81B3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STABLE" sheetId="1" r:id="rId1"/>
    <sheet name="INESTABLE" sheetId="2" r:id="rId2"/>
    <sheet name="x=0" sheetId="3" r:id="rId3"/>
    <sheet name="x=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4" l="1"/>
  <c r="H6" i="4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H8" i="3"/>
  <c r="H6" i="3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H8" i="2"/>
  <c r="H8" i="1"/>
  <c r="H6" i="1"/>
  <c r="B3" i="2"/>
  <c r="B4" i="2"/>
  <c r="B5" i="2" s="1"/>
  <c r="B6" i="2" s="1"/>
  <c r="B7" i="2" s="1"/>
  <c r="B8" i="2" s="1"/>
  <c r="B9" i="2" s="1"/>
  <c r="H6" i="2"/>
  <c r="E3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B10" i="2" l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</calcChain>
</file>

<file path=xl/sharedStrings.xml><?xml version="1.0" encoding="utf-8"?>
<sst xmlns="http://schemas.openxmlformats.org/spreadsheetml/2006/main" count="400" uniqueCount="52">
  <si>
    <t>a =</t>
  </si>
  <si>
    <t>b =</t>
  </si>
  <si>
    <t>x_1</t>
  </si>
  <si>
    <t>x_0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</si>
  <si>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</si>
  <si>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</si>
  <si>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</si>
  <si>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</si>
  <si>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</si>
  <si>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</si>
  <si>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</si>
  <si>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</si>
  <si>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</si>
  <si>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</si>
  <si>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</si>
  <si>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</si>
  <si>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</si>
  <si>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</si>
  <si>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</si>
  <si>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</si>
  <si>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</si>
  <si>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</si>
  <si>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</si>
  <si>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</si>
  <si>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</si>
  <si>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</si>
  <si>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</si>
  <si>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</si>
  <si>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</si>
  <si>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</si>
  <si>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</si>
  <si>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</si>
  <si>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</si>
  <si>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a(1-b) &lt; 2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</si>
  <si>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</si>
  <si>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</si>
  <si>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</si>
  <si>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</si>
  <si>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</si>
  <si>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</si>
  <si>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</si>
  <si>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</si>
  <si>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</si>
  <si>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</si>
  <si>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</si>
  <si>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</si>
  <si>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</si>
  <si>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</si>
  <si>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</si>
  <si>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ITERACIÓN-iesima</t>
  </si>
  <si>
    <t>VALOR</t>
  </si>
  <si>
    <t>0&lt;ab&lt;=2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</si>
</sst>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4338B-5D07-4ED5-9056-A1D17CA9EB60}" name="Tabla1" displayName="Tabla1" ref="A1:B47" totalsRowShown="0">
  <autoFilter ref="A1:B47" xr:uid="{ABE4338B-5D07-4ED5-9056-A1D17CA9EB60}"/>
  <tableColumns count="2">
    <tableColumn id="1" xr3:uid="{430AF2B2-FC3A-4C65-8407-D702F13CE5A6}" name="ITERACIÓN-iesima"/>
    <tableColumn id="2" xr3:uid="{B7D66258-FFDB-464E-B558-8B52F83E72FC}" name="VALOR">
      <calculatedColumnFormula>B1 + $H$3*B1*(B1-$H$4)*(1-B1)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617859-5AA3-4601-9504-DA782577A738}" name="Tabla2" displayName="Tabla2" ref="D1:E47" totalsRowShown="0">
  <autoFilter ref="D1:E47" xr:uid="{7E617859-5AA3-4601-9504-DA782577A738}"/>
  <tableColumns count="2">
    <tableColumn id="1" xr3:uid="{7B245D32-2377-40F6-B3E1-061ADC5704AF}" name="ITERACIÓN-iesima"/>
    <tableColumn id="2" xr3:uid="{9D31F4DB-67C6-4347-AB7D-07FAAC67D689}" name="VALOR">
      <calculatedColumnFormula>E1 + $H$3*E1*(E1-$H$4)*(1-E1)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EF4A01-9C2E-4694-9F04-709E80E062B0}" name="Tabla36" displayName="Tabla36" ref="A1:B47" totalsRowShown="0">
  <autoFilter ref="A1:B47" xr:uid="{B9EF4A01-9C2E-4694-9F04-709E80E062B0}"/>
  <tableColumns count="2">
    <tableColumn id="1" xr3:uid="{788C80D7-A7E9-4621-AAA3-6C0EC361B179}" name="ITERACIÓN-iesima"/>
    <tableColumn id="2" xr3:uid="{FEE69873-D6BE-4162-B037-AD1E123B250E}" name="VALOR" dataDxfId="23">
      <calculatedColumnFormula>B1 + $S$3*B1*(B1-$S$4)*(1-B1)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C42446-A667-4099-A46B-E88BF3FDE1E2}" name="Tabla47" displayName="Tabla47" ref="D1:E47" totalsRowShown="0">
  <autoFilter ref="D1:E47" xr:uid="{4DC42446-A667-4099-A46B-E88BF3FDE1E2}"/>
  <tableColumns count="2">
    <tableColumn id="1" xr3:uid="{2FABA3DD-738A-42CE-AB99-79256A281368}" name="ITERACIÓN-iesima"/>
    <tableColumn id="2" xr3:uid="{3D0841EA-8F40-4E29-801B-D7D9168632BD}" name="VALOR" dataDxfId="22">
      <calculatedColumnFormula>E1 + $S$3*E1*(E1-$S$4)*(1-E1)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4D0EC-BFFE-4F63-BDCD-8282A561155E}" name="Tabla364" displayName="Tabla364" ref="A1:B47" totalsRowShown="0">
  <autoFilter ref="A1:B47" xr:uid="{56E4D0EC-BFFE-4F63-BDCD-8282A561155E}"/>
  <tableColumns count="2">
    <tableColumn id="1" xr3:uid="{F9C84279-1C88-4E5E-AE84-B58D7AD2C50B}" name="ITERACIÓN-iesima"/>
    <tableColumn id="2" xr3:uid="{9A677163-F7E2-458D-B864-19C873B0FB91}" name="VALOR" dataDxfId="7">
      <calculatedColumnFormula>B1 + $S$3*B1*(B1-$S$4)*(1-B1)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C8EE9D-6798-4EFB-8FFA-404B0E897066}" name="Tabla475" displayName="Tabla475" ref="D1:E47" totalsRowShown="0">
  <autoFilter ref="D1:E47" xr:uid="{9AC8EE9D-6798-4EFB-8FFA-404B0E897066}"/>
  <tableColumns count="2">
    <tableColumn id="1" xr3:uid="{15D5A429-12F4-48AD-BD0F-65F54B2E2DF6}" name="ITERACIÓN-iesima"/>
    <tableColumn id="2" xr3:uid="{29AE2148-6A7B-450E-AA9A-3B9C337DDC85}" name="VALOR" dataDxfId="6">
      <calculatedColumnFormula>E1 + $S$3*E1*(E1-$S$4)*(1-E1)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69061B-18D6-40FC-B6C1-6CA9AED435A9}" name="Tabla368" displayName="Tabla368" ref="A1:B47" totalsRowShown="0">
  <autoFilter ref="A1:B47" xr:uid="{6769061B-18D6-40FC-B6C1-6CA9AED435A9}"/>
  <tableColumns count="2">
    <tableColumn id="1" xr3:uid="{B0CAFA4B-2ACF-4B80-8F44-74CFC6E495F9}" name="ITERACIÓN-iesima"/>
    <tableColumn id="2" xr3:uid="{1B14F349-1332-4A39-8952-5B9005472353}" name="VALOR" dataDxfId="1">
      <calculatedColumnFormula>B1 + $S$3*B1*(B1-$S$4)*(1-B1)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E8BB7B-4A44-45E5-A4FE-5C22C7BCFE40}" name="Tabla479" displayName="Tabla479" ref="D1:E47" totalsRowShown="0">
  <autoFilter ref="D1:E47" xr:uid="{F9E8BB7B-4A44-45E5-A4FE-5C22C7BCFE40}"/>
  <tableColumns count="2">
    <tableColumn id="1" xr3:uid="{8E6E3AEF-5997-473E-BDAF-2AF7F0645C51}" name="ITERACIÓN-iesima"/>
    <tableColumn id="2" xr3:uid="{843634B7-03D6-4824-BD68-35C326EF17EB}" name="VALOR" dataDxfId="0">
      <calculatedColumnFormula>E1 + $S$3*E1*(E1-$S$4)*(1-E1)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workbookViewId="0">
      <selection activeCell="L7" sqref="L7"/>
    </sheetView>
  </sheetViews>
  <sheetFormatPr baseColWidth="10" defaultColWidth="11.42578125" defaultRowHeight="15" x14ac:dyDescent="0.25"/>
  <cols>
    <col min="1" max="1" width="14.28515625" customWidth="1"/>
    <col min="2" max="2" width="26" customWidth="1"/>
    <col min="3" max="3" width="11.42578125" customWidth="1"/>
    <col min="4" max="4" width="14.28515625" customWidth="1"/>
    <col min="5" max="5" width="26" customWidth="1"/>
    <col min="6" max="6" width="11.42578125" customWidth="1"/>
    <col min="7" max="7" width="9.140625" customWidth="1"/>
    <col min="8" max="8" width="13.85546875" customWidth="1"/>
    <col min="9" max="9" width="11.42578125" style="3" customWidth="1"/>
    <col min="10" max="12" width="11.42578125" customWidth="1"/>
    <col min="15" max="15" width="9.42578125" customWidth="1"/>
  </cols>
  <sheetData>
    <row r="1" spans="1:14" x14ac:dyDescent="0.25">
      <c r="A1" t="s">
        <v>49</v>
      </c>
      <c r="B1" t="s">
        <v>50</v>
      </c>
      <c r="D1" t="s">
        <v>49</v>
      </c>
      <c r="E1" t="s">
        <v>50</v>
      </c>
    </row>
    <row r="2" spans="1:14" x14ac:dyDescent="0.25">
      <c r="A2" t="s">
        <v>3</v>
      </c>
      <c r="B2">
        <v>0.6</v>
      </c>
      <c r="D2" t="s">
        <v>3</v>
      </c>
      <c r="E2">
        <v>0.4</v>
      </c>
    </row>
    <row r="3" spans="1:14" x14ac:dyDescent="0.25">
      <c r="A3" t="s">
        <v>2</v>
      </c>
      <c r="B3">
        <f t="shared" ref="B3:B47" si="0">B2 + $H$3*B2*(B2-$H$4)*(1-B2)</f>
        <v>0.624</v>
      </c>
      <c r="D3" t="s">
        <v>2</v>
      </c>
      <c r="E3">
        <f>E2 + $H$3*E2*(E2-$H$4)*(1-E2)</f>
        <v>0.376</v>
      </c>
      <c r="G3" t="s">
        <v>0</v>
      </c>
      <c r="H3" s="1">
        <v>1</v>
      </c>
      <c r="N3" s="1"/>
    </row>
    <row r="4" spans="1:14" x14ac:dyDescent="0.25">
      <c r="A4" t="s">
        <v>4</v>
      </c>
      <c r="B4">
        <f t="shared" si="0"/>
        <v>0.65309337599999995</v>
      </c>
      <c r="D4" t="s">
        <v>4</v>
      </c>
      <c r="E4">
        <f t="shared" ref="E4:E47" si="1">E3 + $H$3*E3*(E3-$H$4)*(1-E3)</f>
        <v>0.346906624</v>
      </c>
      <c r="G4" t="s">
        <v>1</v>
      </c>
      <c r="H4" s="1">
        <v>0.5</v>
      </c>
      <c r="N4" s="1"/>
    </row>
    <row r="5" spans="1:14" x14ac:dyDescent="0.25">
      <c r="A5" t="s">
        <v>5</v>
      </c>
      <c r="B5">
        <f t="shared" si="0"/>
        <v>0.68777858148077731</v>
      </c>
      <c r="D5" t="s">
        <v>5</v>
      </c>
      <c r="E5">
        <f t="shared" si="1"/>
        <v>0.31222141851922269</v>
      </c>
    </row>
    <row r="6" spans="1:14" x14ac:dyDescent="0.25">
      <c r="A6" t="s">
        <v>6</v>
      </c>
      <c r="B6">
        <f t="shared" si="0"/>
        <v>0.72810200465950259</v>
      </c>
      <c r="D6" t="s">
        <v>6</v>
      </c>
      <c r="E6">
        <f t="shared" si="1"/>
        <v>0.27189799534049747</v>
      </c>
      <c r="G6" t="s">
        <v>33</v>
      </c>
      <c r="H6" t="b">
        <f>IF($H$3*(1-$H$4)&lt;2, TRUE, FALSE)</f>
        <v>1</v>
      </c>
    </row>
    <row r="7" spans="1:14" x14ac:dyDescent="0.25">
      <c r="A7" t="s">
        <v>7</v>
      </c>
      <c r="B7">
        <f t="shared" si="0"/>
        <v>0.77325923887567194</v>
      </c>
      <c r="D7" t="s">
        <v>7</v>
      </c>
      <c r="E7">
        <f t="shared" si="1"/>
        <v>0.22674076112432812</v>
      </c>
    </row>
    <row r="8" spans="1:14" x14ac:dyDescent="0.25">
      <c r="A8" t="s">
        <v>8</v>
      </c>
      <c r="B8">
        <f t="shared" si="0"/>
        <v>0.82116961409394618</v>
      </c>
      <c r="D8" t="s">
        <v>8</v>
      </c>
      <c r="E8">
        <f t="shared" si="1"/>
        <v>0.17883038590605393</v>
      </c>
      <c r="G8" t="s">
        <v>51</v>
      </c>
      <c r="H8" t="b">
        <f>IF(AND($H$3*$H$4&gt;0, $H$3*$H$4&lt;=2), TRUE, FALSE)</f>
        <v>1</v>
      </c>
    </row>
    <row r="9" spans="1:14" x14ac:dyDescent="0.25">
      <c r="A9" t="s">
        <v>9</v>
      </c>
      <c r="B9">
        <f t="shared" si="0"/>
        <v>0.86833339729050008</v>
      </c>
      <c r="D9" t="s">
        <v>9</v>
      </c>
      <c r="E9">
        <f t="shared" si="1"/>
        <v>0.13166660270949998</v>
      </c>
    </row>
    <row r="10" spans="1:14" x14ac:dyDescent="0.25">
      <c r="A10" t="s">
        <v>10</v>
      </c>
      <c r="B10">
        <f t="shared" si="0"/>
        <v>0.91044514187831704</v>
      </c>
      <c r="D10" t="s">
        <v>10</v>
      </c>
      <c r="E10">
        <f t="shared" si="1"/>
        <v>8.9554858121683012E-2</v>
      </c>
    </row>
    <row r="11" spans="1:14" x14ac:dyDescent="0.25">
      <c r="A11" t="s">
        <v>11</v>
      </c>
      <c r="B11">
        <f t="shared" si="0"/>
        <v>0.94391069848436659</v>
      </c>
      <c r="D11" t="s">
        <v>11</v>
      </c>
      <c r="E11">
        <f t="shared" si="1"/>
        <v>5.6089301515633412E-2</v>
      </c>
    </row>
    <row r="12" spans="1:14" x14ac:dyDescent="0.25">
      <c r="A12" t="s">
        <v>12</v>
      </c>
      <c r="B12">
        <f t="shared" si="0"/>
        <v>0.96741279211454689</v>
      </c>
      <c r="D12" t="s">
        <v>12</v>
      </c>
      <c r="E12">
        <f t="shared" si="1"/>
        <v>3.2587207885453121E-2</v>
      </c>
    </row>
    <row r="13" spans="1:14" x14ac:dyDescent="0.25">
      <c r="A13" t="s">
        <v>13</v>
      </c>
      <c r="B13">
        <f t="shared" si="0"/>
        <v>0.98214811208777764</v>
      </c>
      <c r="D13" t="s">
        <v>13</v>
      </c>
      <c r="E13">
        <f t="shared" si="1"/>
        <v>1.7851887912222413E-2</v>
      </c>
    </row>
    <row r="14" spans="1:14" x14ac:dyDescent="0.25">
      <c r="A14" t="s">
        <v>14</v>
      </c>
      <c r="B14">
        <f t="shared" si="0"/>
        <v>0.99060171040725276</v>
      </c>
      <c r="D14" t="s">
        <v>14</v>
      </c>
      <c r="E14">
        <f t="shared" si="1"/>
        <v>9.3982895927472287E-3</v>
      </c>
    </row>
    <row r="15" spans="1:14" x14ac:dyDescent="0.25">
      <c r="A15" t="s">
        <v>15</v>
      </c>
      <c r="B15">
        <f t="shared" si="0"/>
        <v>0.99516919356341038</v>
      </c>
      <c r="D15" t="s">
        <v>15</v>
      </c>
      <c r="E15">
        <f t="shared" si="1"/>
        <v>4.8308064365895865E-3</v>
      </c>
    </row>
    <row r="16" spans="1:14" x14ac:dyDescent="0.25">
      <c r="A16" t="s">
        <v>16</v>
      </c>
      <c r="B16">
        <f t="shared" si="0"/>
        <v>0.99754970448049973</v>
      </c>
      <c r="D16" t="s">
        <v>16</v>
      </c>
      <c r="E16">
        <f t="shared" si="1"/>
        <v>2.4502955195002266E-3</v>
      </c>
    </row>
    <row r="17" spans="1:5" x14ac:dyDescent="0.25">
      <c r="A17" t="s">
        <v>17</v>
      </c>
      <c r="B17">
        <f t="shared" si="0"/>
        <v>0.99876586102949771</v>
      </c>
      <c r="D17" t="s">
        <v>17</v>
      </c>
      <c r="E17">
        <f t="shared" si="1"/>
        <v>1.2341389705022284E-3</v>
      </c>
    </row>
    <row r="18" spans="1:5" x14ac:dyDescent="0.25">
      <c r="A18" t="s">
        <v>18</v>
      </c>
      <c r="B18">
        <f t="shared" si="0"/>
        <v>0.99938064774596691</v>
      </c>
      <c r="D18" t="s">
        <v>18</v>
      </c>
      <c r="E18">
        <f t="shared" si="1"/>
        <v>6.1935225403305261E-4</v>
      </c>
    </row>
    <row r="19" spans="1:5" x14ac:dyDescent="0.25">
      <c r="A19" t="s">
        <v>19</v>
      </c>
      <c r="B19">
        <f t="shared" si="0"/>
        <v>0.99968974871474336</v>
      </c>
      <c r="D19" t="s">
        <v>19</v>
      </c>
      <c r="E19">
        <f t="shared" si="1"/>
        <v>3.1025128525659059E-4</v>
      </c>
    </row>
    <row r="20" spans="1:5" x14ac:dyDescent="0.25">
      <c r="A20" t="s">
        <v>20</v>
      </c>
      <c r="B20">
        <f t="shared" si="0"/>
        <v>0.9998447300034452</v>
      </c>
      <c r="D20" t="s">
        <v>20</v>
      </c>
      <c r="E20">
        <f t="shared" si="1"/>
        <v>1.5526999655479608E-4</v>
      </c>
    </row>
    <row r="21" spans="1:5" x14ac:dyDescent="0.25">
      <c r="A21" t="s">
        <v>21</v>
      </c>
      <c r="B21">
        <f t="shared" si="0"/>
        <v>0.99992232884230825</v>
      </c>
      <c r="D21" t="s">
        <v>21</v>
      </c>
      <c r="E21">
        <f t="shared" si="1"/>
        <v>7.7671157691774307E-5</v>
      </c>
    </row>
    <row r="22" spans="1:5" x14ac:dyDescent="0.25">
      <c r="A22" t="s">
        <v>22</v>
      </c>
      <c r="B22">
        <f t="shared" si="0"/>
        <v>0.99996115537240959</v>
      </c>
      <c r="D22" t="s">
        <v>22</v>
      </c>
      <c r="E22">
        <f t="shared" si="1"/>
        <v>3.884462759041768E-5</v>
      </c>
    </row>
    <row r="23" spans="1:5" x14ac:dyDescent="0.25">
      <c r="A23" t="s">
        <v>23</v>
      </c>
      <c r="B23">
        <f t="shared" si="0"/>
        <v>0.99998057542290575</v>
      </c>
      <c r="D23" t="s">
        <v>23</v>
      </c>
      <c r="E23">
        <f t="shared" si="1"/>
        <v>1.942457709423494E-5</v>
      </c>
    </row>
    <row r="24" spans="1:5" x14ac:dyDescent="0.25">
      <c r="A24" t="s">
        <v>24</v>
      </c>
      <c r="B24">
        <f t="shared" si="0"/>
        <v>0.99999028714548888</v>
      </c>
      <c r="D24" t="s">
        <v>24</v>
      </c>
      <c r="E24">
        <f t="shared" si="1"/>
        <v>9.7128545110812377E-6</v>
      </c>
    </row>
    <row r="25" spans="1:5" x14ac:dyDescent="0.25">
      <c r="A25" t="s">
        <v>25</v>
      </c>
      <c r="B25">
        <f t="shared" si="0"/>
        <v>0.99999514343123608</v>
      </c>
      <c r="D25" t="s">
        <v>25</v>
      </c>
      <c r="E25">
        <f t="shared" si="1"/>
        <v>4.8565687639384427E-6</v>
      </c>
    </row>
    <row r="26" spans="1:5" x14ac:dyDescent="0.25">
      <c r="A26" t="s">
        <v>26</v>
      </c>
      <c r="B26">
        <f t="shared" si="0"/>
        <v>0.99999757168023873</v>
      </c>
      <c r="D26" t="s">
        <v>26</v>
      </c>
      <c r="E26">
        <f t="shared" si="1"/>
        <v>2.4283197612449112E-6</v>
      </c>
    </row>
    <row r="27" spans="1:5" x14ac:dyDescent="0.25">
      <c r="A27" t="s">
        <v>27</v>
      </c>
      <c r="B27">
        <f t="shared" si="0"/>
        <v>0.99999878583127433</v>
      </c>
      <c r="D27" t="s">
        <v>27</v>
      </c>
      <c r="E27">
        <f t="shared" si="1"/>
        <v>1.214168725713431E-6</v>
      </c>
    </row>
    <row r="28" spans="1:5" x14ac:dyDescent="0.25">
      <c r="A28" t="s">
        <v>28</v>
      </c>
      <c r="B28">
        <f t="shared" si="0"/>
        <v>0.99999939291342588</v>
      </c>
      <c r="D28" t="s">
        <v>28</v>
      </c>
      <c r="E28">
        <f t="shared" si="1"/>
        <v>6.0708657416346728E-7</v>
      </c>
    </row>
    <row r="29" spans="1:5" x14ac:dyDescent="0.25">
      <c r="A29" t="s">
        <v>29</v>
      </c>
      <c r="B29">
        <f t="shared" si="0"/>
        <v>0.99999969645616016</v>
      </c>
      <c r="D29" t="s">
        <v>29</v>
      </c>
      <c r="E29">
        <f t="shared" si="1"/>
        <v>3.0354383991267269E-7</v>
      </c>
    </row>
    <row r="30" spans="1:5" x14ac:dyDescent="0.25">
      <c r="A30" t="s">
        <v>30</v>
      </c>
      <c r="B30">
        <f t="shared" si="0"/>
        <v>0.99999984822794186</v>
      </c>
      <c r="D30" t="s">
        <v>30</v>
      </c>
      <c r="E30">
        <f t="shared" si="1"/>
        <v>1.517720581646025E-7</v>
      </c>
    </row>
    <row r="31" spans="1:5" x14ac:dyDescent="0.25">
      <c r="A31" t="s">
        <v>31</v>
      </c>
      <c r="B31">
        <f t="shared" si="0"/>
        <v>0.99999992411393634</v>
      </c>
      <c r="D31" t="s">
        <v>31</v>
      </c>
      <c r="E31">
        <f t="shared" si="1"/>
        <v>7.5886063634434201E-8</v>
      </c>
    </row>
    <row r="32" spans="1:5" x14ac:dyDescent="0.25">
      <c r="A32" t="s">
        <v>32</v>
      </c>
      <c r="B32">
        <f t="shared" si="0"/>
        <v>0.99999996205695951</v>
      </c>
      <c r="D32" t="s">
        <v>32</v>
      </c>
      <c r="E32">
        <f t="shared" si="1"/>
        <v>3.7943040455258647E-8</v>
      </c>
    </row>
    <row r="33" spans="1:5" x14ac:dyDescent="0.25">
      <c r="A33" t="s">
        <v>34</v>
      </c>
      <c r="B33">
        <f t="shared" si="0"/>
        <v>0.99999998102847765</v>
      </c>
      <c r="D33" t="s">
        <v>34</v>
      </c>
      <c r="E33">
        <f t="shared" si="1"/>
        <v>1.8971522387140749E-8</v>
      </c>
    </row>
    <row r="34" spans="1:5" x14ac:dyDescent="0.25">
      <c r="A34" t="s">
        <v>35</v>
      </c>
      <c r="B34">
        <f t="shared" si="0"/>
        <v>0.99999999051423827</v>
      </c>
      <c r="D34" t="s">
        <v>35</v>
      </c>
      <c r="E34">
        <f t="shared" si="1"/>
        <v>9.4857617334483598E-9</v>
      </c>
    </row>
    <row r="35" spans="1:5" x14ac:dyDescent="0.25">
      <c r="A35" t="s">
        <v>36</v>
      </c>
      <c r="B35">
        <f t="shared" si="0"/>
        <v>0.99999999525711902</v>
      </c>
      <c r="D35" t="s">
        <v>36</v>
      </c>
      <c r="E35">
        <f t="shared" si="1"/>
        <v>4.7428810016936928E-9</v>
      </c>
    </row>
    <row r="36" spans="1:5" x14ac:dyDescent="0.25">
      <c r="A36" t="s">
        <v>37</v>
      </c>
      <c r="B36">
        <f t="shared" si="0"/>
        <v>0.99999999762855951</v>
      </c>
      <c r="D36" t="s">
        <v>37</v>
      </c>
      <c r="E36">
        <f t="shared" si="1"/>
        <v>2.3714405345892261E-9</v>
      </c>
    </row>
    <row r="37" spans="1:5" x14ac:dyDescent="0.25">
      <c r="A37" t="s">
        <v>38</v>
      </c>
      <c r="B37">
        <f t="shared" si="0"/>
        <v>0.9999999988142797</v>
      </c>
      <c r="D37" t="s">
        <v>38</v>
      </c>
      <c r="E37">
        <f t="shared" si="1"/>
        <v>1.1857202757302084E-9</v>
      </c>
    </row>
    <row r="38" spans="1:5" x14ac:dyDescent="0.25">
      <c r="A38" t="s">
        <v>39</v>
      </c>
      <c r="B38">
        <f t="shared" si="0"/>
        <v>0.99999999940713979</v>
      </c>
      <c r="D38" t="s">
        <v>39</v>
      </c>
      <c r="E38">
        <f t="shared" si="1"/>
        <v>5.9286013997400312E-10</v>
      </c>
    </row>
    <row r="39" spans="1:5" x14ac:dyDescent="0.25">
      <c r="A39" t="s">
        <v>40</v>
      </c>
      <c r="B39">
        <f t="shared" si="0"/>
        <v>0.9999999997035699</v>
      </c>
      <c r="D39" t="s">
        <v>40</v>
      </c>
      <c r="E39">
        <f t="shared" si="1"/>
        <v>2.9643007051422627E-10</v>
      </c>
    </row>
    <row r="40" spans="1:5" x14ac:dyDescent="0.25">
      <c r="A40" t="s">
        <v>41</v>
      </c>
      <c r="B40">
        <f t="shared" si="0"/>
        <v>0.99999999985178489</v>
      </c>
      <c r="D40" t="s">
        <v>41</v>
      </c>
      <c r="E40">
        <f t="shared" si="1"/>
        <v>1.482150353889193E-10</v>
      </c>
    </row>
    <row r="41" spans="1:5" x14ac:dyDescent="0.25">
      <c r="A41" t="s">
        <v>42</v>
      </c>
      <c r="B41">
        <f t="shared" si="0"/>
        <v>0.99999999992589239</v>
      </c>
      <c r="D41" t="s">
        <v>42</v>
      </c>
      <c r="E41">
        <f t="shared" si="1"/>
        <v>7.410751772741119E-11</v>
      </c>
    </row>
    <row r="42" spans="1:5" x14ac:dyDescent="0.25">
      <c r="A42" t="s">
        <v>43</v>
      </c>
      <c r="B42">
        <f t="shared" si="0"/>
        <v>0.9999999999629462</v>
      </c>
      <c r="D42" t="s">
        <v>43</v>
      </c>
      <c r="E42">
        <f t="shared" si="1"/>
        <v>3.705375887194348E-11</v>
      </c>
    </row>
    <row r="43" spans="1:5" x14ac:dyDescent="0.25">
      <c r="A43" t="s">
        <v>44</v>
      </c>
      <c r="B43">
        <f t="shared" si="0"/>
        <v>0.99999999998147304</v>
      </c>
      <c r="D43" t="s">
        <v>44</v>
      </c>
      <c r="E43">
        <f t="shared" si="1"/>
        <v>1.8526879438031213E-11</v>
      </c>
    </row>
    <row r="44" spans="1:5" x14ac:dyDescent="0.25">
      <c r="A44" t="s">
        <v>45</v>
      </c>
      <c r="B44">
        <f t="shared" si="0"/>
        <v>0.99999999999073652</v>
      </c>
      <c r="D44" t="s">
        <v>45</v>
      </c>
      <c r="E44">
        <f t="shared" si="1"/>
        <v>9.2634397195304748E-12</v>
      </c>
    </row>
    <row r="45" spans="1:5" x14ac:dyDescent="0.25">
      <c r="A45" t="s">
        <v>46</v>
      </c>
      <c r="B45">
        <f t="shared" si="0"/>
        <v>0.99999999999536826</v>
      </c>
      <c r="D45" t="s">
        <v>46</v>
      </c>
      <c r="E45">
        <f t="shared" si="1"/>
        <v>4.6317198598939545E-12</v>
      </c>
    </row>
    <row r="46" spans="1:5" x14ac:dyDescent="0.25">
      <c r="A46" t="s">
        <v>47</v>
      </c>
      <c r="B46">
        <f t="shared" si="0"/>
        <v>0.99999999999768407</v>
      </c>
      <c r="D46" t="s">
        <v>47</v>
      </c>
      <c r="E46">
        <f t="shared" si="1"/>
        <v>2.3158599299791565E-12</v>
      </c>
    </row>
    <row r="47" spans="1:5" x14ac:dyDescent="0.25">
      <c r="A47" t="s">
        <v>48</v>
      </c>
      <c r="B47">
        <f t="shared" si="0"/>
        <v>0.99999999999884204</v>
      </c>
      <c r="D47" t="s">
        <v>48</v>
      </c>
      <c r="E47">
        <f t="shared" si="1"/>
        <v>1.1579299649976229E-12</v>
      </c>
    </row>
  </sheetData>
  <phoneticPr fontId="1" type="noConversion"/>
  <conditionalFormatting sqref="H6">
    <cfRule type="containsText" dxfId="21" priority="10" operator="containsText" text="FALSO">
      <formula>NOT(ISERROR(SEARCH("FALSO",H6)))</formula>
    </cfRule>
    <cfRule type="containsText" dxfId="20" priority="11" operator="containsText" text="VERDADERO">
      <formula>NOT(ISERROR(SEARCH("VERDADERO",H6)))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">
    <cfRule type="containsText" dxfId="19" priority="4" operator="containsText" text="FALSO">
      <formula>NOT(ISERROR(SEARCH("FALSO",N6)))</formula>
    </cfRule>
    <cfRule type="containsText" dxfId="18" priority="5" operator="containsText" text="VERDADERO">
      <formula>NOT(ISERROR(SEARCH("VERDADERO",N6)))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ntainsText" dxfId="15" priority="1" operator="containsText" text="FALSO">
      <formula>NOT(ISERROR(SEARCH("FALSO",H8)))</formula>
    </cfRule>
    <cfRule type="containsText" dxfId="14" priority="2" operator="containsText" text="VERDADERO">
      <formula>NOT(ISERROR(SEARCH("VERDADERO",H8)))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5FC4-A193-49D3-97F7-DF3D1DF15AE0}">
  <dimension ref="A1:H47"/>
  <sheetViews>
    <sheetView workbookViewId="0">
      <selection activeCell="C31" sqref="C31"/>
    </sheetView>
  </sheetViews>
  <sheetFormatPr baseColWidth="10" defaultRowHeight="15" x14ac:dyDescent="0.25"/>
  <cols>
    <col min="1" max="1" width="14.28515625" customWidth="1"/>
    <col min="2" max="2" width="26" customWidth="1"/>
    <col min="3" max="3" width="11.42578125" customWidth="1"/>
    <col min="4" max="4" width="14.28515625" customWidth="1"/>
    <col min="5" max="5" width="26" customWidth="1"/>
    <col min="8" max="8" width="15.42578125" customWidth="1"/>
  </cols>
  <sheetData>
    <row r="1" spans="1:8" x14ac:dyDescent="0.25">
      <c r="A1" t="s">
        <v>49</v>
      </c>
      <c r="B1" t="s">
        <v>50</v>
      </c>
      <c r="D1" t="s">
        <v>49</v>
      </c>
      <c r="E1" t="s">
        <v>50</v>
      </c>
    </row>
    <row r="2" spans="1:8" x14ac:dyDescent="0.25">
      <c r="A2" t="s">
        <v>3</v>
      </c>
      <c r="B2">
        <v>0.6</v>
      </c>
      <c r="D2" t="s">
        <v>3</v>
      </c>
      <c r="E2">
        <v>0.4</v>
      </c>
    </row>
    <row r="3" spans="1:8" x14ac:dyDescent="0.25">
      <c r="A3" t="s">
        <v>2</v>
      </c>
      <c r="B3" s="2">
        <f>B2 + $H$3*B2*(B2-$H$4)*(1-B2)</f>
        <v>0.74399999999999999</v>
      </c>
      <c r="D3" t="s">
        <v>2</v>
      </c>
      <c r="E3" s="2">
        <f>E2 + $H$3*E2*(E2-$H$4)*(1-E2)</f>
        <v>0.25600000000000001</v>
      </c>
      <c r="G3" t="s">
        <v>0</v>
      </c>
      <c r="H3" s="1">
        <v>6</v>
      </c>
    </row>
    <row r="4" spans="1:8" x14ac:dyDescent="0.25">
      <c r="A4" t="s">
        <v>4</v>
      </c>
      <c r="B4" s="2">
        <f t="shared" ref="B4:B47" si="0">B3 + $H$3*B3*(B3-$H$4)*(1-B3)</f>
        <v>1.0228392960000001</v>
      </c>
      <c r="D4" t="s">
        <v>4</v>
      </c>
      <c r="E4" s="2">
        <f t="shared" ref="E4:E47" si="1">E3 + $H$3*E3*(E3-$H$4)*(1-E3)</f>
        <v>-2.2839296000000009E-2</v>
      </c>
      <c r="G4" t="s">
        <v>1</v>
      </c>
      <c r="H4" s="1">
        <v>0.5</v>
      </c>
    </row>
    <row r="5" spans="1:8" x14ac:dyDescent="0.25">
      <c r="A5" t="s">
        <v>5</v>
      </c>
      <c r="B5" s="2">
        <f t="shared" si="0"/>
        <v>0.94955522458053787</v>
      </c>
      <c r="D5" t="s">
        <v>5</v>
      </c>
      <c r="E5" s="2">
        <f t="shared" si="1"/>
        <v>5.0444775419461838E-2</v>
      </c>
    </row>
    <row r="6" spans="1:8" x14ac:dyDescent="0.25">
      <c r="A6" t="s">
        <v>6</v>
      </c>
      <c r="B6" s="2">
        <f t="shared" si="0"/>
        <v>1.0787576659993032</v>
      </c>
      <c r="D6" t="s">
        <v>6</v>
      </c>
      <c r="E6" s="2">
        <f t="shared" si="1"/>
        <v>-7.8757665999302992E-2</v>
      </c>
      <c r="G6" t="s">
        <v>33</v>
      </c>
      <c r="H6" t="b">
        <f>IF($H$3*(1-$H$4)&lt;2, TRUE, FALSE)</f>
        <v>0</v>
      </c>
    </row>
    <row r="7" spans="1:8" x14ac:dyDescent="0.25">
      <c r="A7" t="s">
        <v>7</v>
      </c>
      <c r="B7" s="2">
        <f t="shared" si="0"/>
        <v>0.7837286443127891</v>
      </c>
      <c r="D7" t="s">
        <v>7</v>
      </c>
      <c r="E7" s="2">
        <f t="shared" si="1"/>
        <v>0.21627135568721001</v>
      </c>
    </row>
    <row r="8" spans="1:8" x14ac:dyDescent="0.25">
      <c r="A8" t="s">
        <v>8</v>
      </c>
      <c r="B8" s="2">
        <f t="shared" si="0"/>
        <v>1.0722773668428542</v>
      </c>
      <c r="D8" t="s">
        <v>8</v>
      </c>
      <c r="E8" s="2">
        <f t="shared" si="1"/>
        <v>-7.2277366842855129E-2</v>
      </c>
      <c r="G8" t="s">
        <v>51</v>
      </c>
      <c r="H8" t="b">
        <f>IF(AND($H$3*$H$4&gt;0, $H$3*$H$4&lt;=2), TRUE, FALSE)</f>
        <v>0</v>
      </c>
    </row>
    <row r="9" spans="1:8" x14ac:dyDescent="0.25">
      <c r="A9" t="s">
        <v>9</v>
      </c>
      <c r="B9" s="2">
        <f t="shared" si="0"/>
        <v>0.80616363700744575</v>
      </c>
      <c r="D9" t="s">
        <v>9</v>
      </c>
      <c r="E9" s="2">
        <f t="shared" si="1"/>
        <v>0.19383636299255724</v>
      </c>
    </row>
    <row r="10" spans="1:8" x14ac:dyDescent="0.25">
      <c r="A10" t="s">
        <v>10</v>
      </c>
      <c r="B10" s="2">
        <f>B9 + $H$3*B9*(B9-$H$4)*(1-B9)</f>
        <v>1.093217447337296</v>
      </c>
      <c r="D10" t="s">
        <v>10</v>
      </c>
      <c r="E10" s="2">
        <f t="shared" si="1"/>
        <v>-9.3217447337293535E-2</v>
      </c>
    </row>
    <row r="11" spans="1:8" x14ac:dyDescent="0.25">
      <c r="A11" t="s">
        <v>11</v>
      </c>
      <c r="B11" s="2">
        <f t="shared" si="0"/>
        <v>0.73049959908230067</v>
      </c>
      <c r="D11" t="s">
        <v>11</v>
      </c>
      <c r="E11" s="2">
        <f t="shared" si="1"/>
        <v>0.26950040091768995</v>
      </c>
    </row>
    <row r="12" spans="1:8" x14ac:dyDescent="0.25">
      <c r="A12" t="s">
        <v>12</v>
      </c>
      <c r="B12" s="2">
        <f t="shared" si="0"/>
        <v>1.0027702453705216</v>
      </c>
      <c r="D12" t="s">
        <v>12</v>
      </c>
      <c r="E12" s="2">
        <f t="shared" si="1"/>
        <v>-2.7702453705359398E-3</v>
      </c>
    </row>
    <row r="13" spans="1:8" x14ac:dyDescent="0.25">
      <c r="A13" t="s">
        <v>13</v>
      </c>
      <c r="B13" s="2">
        <f t="shared" si="0"/>
        <v>0.99439031336675099</v>
      </c>
      <c r="D13" t="s">
        <v>13</v>
      </c>
      <c r="E13" s="2">
        <f t="shared" si="1"/>
        <v>5.6096866332783282E-3</v>
      </c>
    </row>
    <row r="14" spans="1:8" x14ac:dyDescent="0.25">
      <c r="A14" t="s">
        <v>14</v>
      </c>
      <c r="B14" s="2">
        <f t="shared" si="0"/>
        <v>1.0109372151827631</v>
      </c>
      <c r="D14" t="s">
        <v>14</v>
      </c>
      <c r="E14" s="2">
        <f t="shared" si="1"/>
        <v>-1.0937215182818781E-2</v>
      </c>
    </row>
    <row r="15" spans="1:8" x14ac:dyDescent="0.25">
      <c r="A15" t="s">
        <v>15</v>
      </c>
      <c r="B15" s="2">
        <f t="shared" si="0"/>
        <v>0.9770411155172013</v>
      </c>
      <c r="D15" t="s">
        <v>15</v>
      </c>
      <c r="E15" s="2">
        <f t="shared" si="1"/>
        <v>2.2958884482921105E-2</v>
      </c>
    </row>
    <row r="16" spans="1:8" x14ac:dyDescent="0.25">
      <c r="A16" t="s">
        <v>16</v>
      </c>
      <c r="B16" s="2">
        <f t="shared" si="0"/>
        <v>1.0412463867728363</v>
      </c>
      <c r="D16" t="s">
        <v>16</v>
      </c>
      <c r="E16" s="2">
        <f t="shared" si="1"/>
        <v>-4.1246386773031607E-2</v>
      </c>
    </row>
    <row r="17" spans="1:5" x14ac:dyDescent="0.25">
      <c r="A17" t="s">
        <v>17</v>
      </c>
      <c r="B17" s="2">
        <f t="shared" si="0"/>
        <v>0.90177482059592751</v>
      </c>
      <c r="D17" t="s">
        <v>17</v>
      </c>
      <c r="E17" s="2">
        <f t="shared" si="1"/>
        <v>9.8225179404613977E-2</v>
      </c>
    </row>
    <row r="18" spans="1:5" x14ac:dyDescent="0.25">
      <c r="A18" t="s">
        <v>18</v>
      </c>
      <c r="B18" s="2">
        <f t="shared" si="0"/>
        <v>1.1153028547149009</v>
      </c>
      <c r="D18" t="s">
        <v>18</v>
      </c>
      <c r="E18" s="2">
        <f t="shared" si="1"/>
        <v>-0.11530285471512053</v>
      </c>
    </row>
    <row r="19" spans="1:5" x14ac:dyDescent="0.25">
      <c r="A19" t="s">
        <v>19</v>
      </c>
      <c r="B19" s="2">
        <f t="shared" si="0"/>
        <v>0.64054402122757237</v>
      </c>
      <c r="D19" t="s">
        <v>19</v>
      </c>
      <c r="E19" s="2">
        <f t="shared" si="1"/>
        <v>0.35945597877337537</v>
      </c>
    </row>
    <row r="20" spans="1:5" x14ac:dyDescent="0.25">
      <c r="A20" t="s">
        <v>20</v>
      </c>
      <c r="B20" s="2">
        <f t="shared" si="0"/>
        <v>0.83470337559687313</v>
      </c>
      <c r="D20" t="s">
        <v>20</v>
      </c>
      <c r="E20" s="2">
        <f t="shared" si="1"/>
        <v>0.16529662440515921</v>
      </c>
    </row>
    <row r="21" spans="1:5" x14ac:dyDescent="0.25">
      <c r="A21" t="s">
        <v>21</v>
      </c>
      <c r="B21" s="2">
        <f t="shared" si="0"/>
        <v>1.1117848547185119</v>
      </c>
      <c r="D21" t="s">
        <v>21</v>
      </c>
      <c r="E21" s="2">
        <f t="shared" si="1"/>
        <v>-0.11178485471752911</v>
      </c>
    </row>
    <row r="22" spans="1:5" x14ac:dyDescent="0.25">
      <c r="A22" t="s">
        <v>22</v>
      </c>
      <c r="B22" s="2">
        <f t="shared" si="0"/>
        <v>0.65558652369059189</v>
      </c>
      <c r="D22" t="s">
        <v>22</v>
      </c>
      <c r="E22" s="2">
        <f t="shared" si="1"/>
        <v>0.3444134763052441</v>
      </c>
    </row>
    <row r="23" spans="1:5" x14ac:dyDescent="0.25">
      <c r="A23" t="s">
        <v>23</v>
      </c>
      <c r="B23" s="2">
        <f t="shared" si="0"/>
        <v>0.86636845605785251</v>
      </c>
      <c r="D23" t="s">
        <v>23</v>
      </c>
      <c r="E23" s="2">
        <f t="shared" si="1"/>
        <v>0.13363154393355187</v>
      </c>
    </row>
    <row r="24" spans="1:5" x14ac:dyDescent="0.25">
      <c r="A24" t="s">
        <v>24</v>
      </c>
      <c r="B24" s="2">
        <f t="shared" si="0"/>
        <v>1.1208644452641585</v>
      </c>
      <c r="D24" t="s">
        <v>24</v>
      </c>
      <c r="E24" s="2">
        <f t="shared" si="1"/>
        <v>-0.1208644452648801</v>
      </c>
    </row>
    <row r="25" spans="1:5" x14ac:dyDescent="0.25">
      <c r="A25" t="s">
        <v>25</v>
      </c>
      <c r="B25" s="2">
        <f t="shared" si="0"/>
        <v>0.61620350012854896</v>
      </c>
      <c r="D25" t="s">
        <v>25</v>
      </c>
      <c r="E25" s="2">
        <f t="shared" si="1"/>
        <v>0.38379649987465386</v>
      </c>
    </row>
    <row r="26" spans="1:5" x14ac:dyDescent="0.25">
      <c r="A26" t="s">
        <v>26</v>
      </c>
      <c r="B26" s="2">
        <f t="shared" si="0"/>
        <v>0.78109399844278515</v>
      </c>
      <c r="D26" t="s">
        <v>26</v>
      </c>
      <c r="E26" s="2">
        <f t="shared" si="1"/>
        <v>0.21890600156444348</v>
      </c>
    </row>
    <row r="27" spans="1:5" x14ac:dyDescent="0.25">
      <c r="A27" t="s">
        <v>27</v>
      </c>
      <c r="B27" s="2">
        <f t="shared" si="0"/>
        <v>1.0694731056122386</v>
      </c>
      <c r="D27" t="s">
        <v>27</v>
      </c>
      <c r="E27" s="2">
        <f t="shared" si="1"/>
        <v>-6.9473105604447999E-2</v>
      </c>
    </row>
    <row r="28" spans="1:5" x14ac:dyDescent="0.25">
      <c r="A28" t="s">
        <v>28</v>
      </c>
      <c r="B28" s="2">
        <f t="shared" si="0"/>
        <v>0.81560330030919437</v>
      </c>
      <c r="D28" t="s">
        <v>28</v>
      </c>
      <c r="E28" s="2">
        <f t="shared" si="1"/>
        <v>0.18439669966480518</v>
      </c>
    </row>
    <row r="29" spans="1:5" x14ac:dyDescent="0.25">
      <c r="A29" t="s">
        <v>29</v>
      </c>
      <c r="B29" s="2">
        <f t="shared" si="0"/>
        <v>1.1003934112211839</v>
      </c>
      <c r="D29" t="s">
        <v>29</v>
      </c>
      <c r="E29" s="2">
        <f t="shared" si="1"/>
        <v>-0.10039341123956877</v>
      </c>
    </row>
    <row r="30" spans="1:5" x14ac:dyDescent="0.25">
      <c r="A30" t="s">
        <v>30</v>
      </c>
      <c r="B30" s="2">
        <f t="shared" si="0"/>
        <v>0.70243255143255201</v>
      </c>
      <c r="D30" t="s">
        <v>30</v>
      </c>
      <c r="E30" s="2">
        <f t="shared" si="1"/>
        <v>0.29756744864077578</v>
      </c>
    </row>
    <row r="31" spans="1:5" x14ac:dyDescent="0.25">
      <c r="A31" t="s">
        <v>31</v>
      </c>
      <c r="B31" s="2">
        <f t="shared" si="0"/>
        <v>0.95630855288172933</v>
      </c>
      <c r="D31" t="s">
        <v>31</v>
      </c>
      <c r="E31" s="2">
        <f t="shared" si="1"/>
        <v>4.3691447247502013E-2</v>
      </c>
    </row>
    <row r="32" spans="1:5" x14ac:dyDescent="0.25">
      <c r="A32" t="s">
        <v>32</v>
      </c>
      <c r="B32" s="2">
        <f t="shared" si="0"/>
        <v>1.0707028380501322</v>
      </c>
      <c r="D32" t="s">
        <v>32</v>
      </c>
      <c r="E32" s="2">
        <f t="shared" si="1"/>
        <v>-7.0702838211401942E-2</v>
      </c>
    </row>
    <row r="33" spans="1:5" x14ac:dyDescent="0.25">
      <c r="A33" t="s">
        <v>34</v>
      </c>
      <c r="B33" s="2">
        <f t="shared" si="0"/>
        <v>0.81148368730902254</v>
      </c>
      <c r="D33" t="s">
        <v>34</v>
      </c>
      <c r="E33" s="2">
        <f t="shared" si="1"/>
        <v>0.18851631323326806</v>
      </c>
    </row>
    <row r="34" spans="1:5" x14ac:dyDescent="0.25">
      <c r="A34" t="s">
        <v>35</v>
      </c>
      <c r="B34" s="2">
        <f t="shared" si="0"/>
        <v>1.0973844329585016</v>
      </c>
      <c r="D34" t="s">
        <v>35</v>
      </c>
      <c r="E34" s="2">
        <f t="shared" si="1"/>
        <v>-9.7384432549830091E-2</v>
      </c>
    </row>
    <row r="35" spans="1:5" x14ac:dyDescent="0.25">
      <c r="A35" t="s">
        <v>36</v>
      </c>
      <c r="B35" s="2">
        <f t="shared" si="0"/>
        <v>0.71433617932448046</v>
      </c>
      <c r="D35" t="s">
        <v>36</v>
      </c>
      <c r="E35" s="2">
        <f t="shared" si="1"/>
        <v>0.28566381907204502</v>
      </c>
    </row>
    <row r="36" spans="1:5" x14ac:dyDescent="0.25">
      <c r="A36" t="s">
        <v>37</v>
      </c>
      <c r="B36" s="2">
        <f t="shared" si="0"/>
        <v>0.97676082671334274</v>
      </c>
      <c r="D36" t="s">
        <v>37</v>
      </c>
      <c r="E36" s="2">
        <f t="shared" si="1"/>
        <v>2.3239170603916115E-2</v>
      </c>
    </row>
    <row r="37" spans="1:5" x14ac:dyDescent="0.25">
      <c r="A37" t="s">
        <v>38</v>
      </c>
      <c r="B37" s="2">
        <f t="shared" si="0"/>
        <v>1.0416931171704129</v>
      </c>
      <c r="D37" t="s">
        <v>38</v>
      </c>
      <c r="E37" s="2">
        <f t="shared" si="1"/>
        <v>-4.1693112901055693E-2</v>
      </c>
    </row>
    <row r="38" spans="1:5" x14ac:dyDescent="0.25">
      <c r="A38" t="s">
        <v>39</v>
      </c>
      <c r="B38" s="2">
        <f t="shared" si="0"/>
        <v>0.90053406660384949</v>
      </c>
      <c r="D38" t="s">
        <v>39</v>
      </c>
      <c r="E38" s="2">
        <f t="shared" si="1"/>
        <v>9.9465921519798869E-2</v>
      </c>
    </row>
    <row r="39" spans="1:5" x14ac:dyDescent="0.25">
      <c r="A39" t="s">
        <v>40</v>
      </c>
      <c r="B39" s="2">
        <f t="shared" si="0"/>
        <v>1.1157950001411665</v>
      </c>
      <c r="D39" t="s">
        <v>40</v>
      </c>
      <c r="E39" s="2">
        <f t="shared" si="1"/>
        <v>-0.11579499553675517</v>
      </c>
    </row>
    <row r="40" spans="1:5" x14ac:dyDescent="0.25">
      <c r="A40" t="s">
        <v>41</v>
      </c>
      <c r="B40" s="2">
        <f t="shared" si="0"/>
        <v>0.63841785010785201</v>
      </c>
      <c r="D40" t="s">
        <v>41</v>
      </c>
      <c r="E40" s="2">
        <f t="shared" si="1"/>
        <v>0.36158212997501799</v>
      </c>
    </row>
    <row r="41" spans="1:5" x14ac:dyDescent="0.25">
      <c r="A41" t="s">
        <v>42</v>
      </c>
      <c r="B41" s="2">
        <f t="shared" si="0"/>
        <v>0.83013252345452049</v>
      </c>
      <c r="D41" t="s">
        <v>42</v>
      </c>
      <c r="E41" s="2">
        <f t="shared" si="1"/>
        <v>0.16986743362149642</v>
      </c>
    </row>
    <row r="42" spans="1:5" x14ac:dyDescent="0.25">
      <c r="A42" t="s">
        <v>43</v>
      </c>
      <c r="B42" s="2">
        <f t="shared" si="0"/>
        <v>1.1094494318257375</v>
      </c>
      <c r="D42" t="s">
        <v>43</v>
      </c>
      <c r="E42" s="2">
        <f t="shared" si="1"/>
        <v>-0.10944945492850039</v>
      </c>
    </row>
    <row r="43" spans="1:5" x14ac:dyDescent="0.25">
      <c r="A43" t="s">
        <v>44</v>
      </c>
      <c r="B43" s="2">
        <f t="shared" si="0"/>
        <v>0.66542184776731261</v>
      </c>
      <c r="D43" t="s">
        <v>44</v>
      </c>
      <c r="E43" s="2">
        <f t="shared" si="1"/>
        <v>0.33457824893427379</v>
      </c>
    </row>
    <row r="44" spans="1:5" x14ac:dyDescent="0.25">
      <c r="A44" t="s">
        <v>45</v>
      </c>
      <c r="B44" s="2">
        <f t="shared" si="0"/>
        <v>0.88639461394153896</v>
      </c>
      <c r="D44" t="s">
        <v>45</v>
      </c>
      <c r="E44" s="2">
        <f t="shared" si="1"/>
        <v>0.11360558018122024</v>
      </c>
    </row>
    <row r="45" spans="1:5" x14ac:dyDescent="0.25">
      <c r="A45" t="s">
        <v>46</v>
      </c>
      <c r="B45" s="2">
        <f t="shared" si="0"/>
        <v>1.119852390362456</v>
      </c>
      <c r="D45" t="s">
        <v>46</v>
      </c>
      <c r="E45" s="2">
        <f t="shared" si="1"/>
        <v>-0.11985242674358634</v>
      </c>
    </row>
    <row r="46" spans="1:5" x14ac:dyDescent="0.25">
      <c r="A46" t="s">
        <v>47</v>
      </c>
      <c r="B46" s="2">
        <f t="shared" si="0"/>
        <v>0.62068407336869891</v>
      </c>
      <c r="D46" t="s">
        <v>47</v>
      </c>
      <c r="E46" s="2">
        <f t="shared" si="1"/>
        <v>0.37931608728695843</v>
      </c>
    </row>
    <row r="47" spans="1:5" x14ac:dyDescent="0.25">
      <c r="A47" t="s">
        <v>48</v>
      </c>
      <c r="B47" s="2">
        <f t="shared" si="0"/>
        <v>0.79116385889811425</v>
      </c>
      <c r="D47" t="s">
        <v>48</v>
      </c>
      <c r="E47" s="2">
        <f t="shared" si="1"/>
        <v>0.20883650062301645</v>
      </c>
    </row>
  </sheetData>
  <conditionalFormatting sqref="H6">
    <cfRule type="containsText" dxfId="17" priority="4" operator="containsText" text="FALSO">
      <formula>NOT(ISERROR(SEARCH("FALSO",H6)))</formula>
    </cfRule>
    <cfRule type="containsText" dxfId="16" priority="5" operator="containsText" text="VERDADERO">
      <formula>NOT(ISERROR(SEARCH("VERDADERO",H6)))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ntainsText" dxfId="13" priority="1" operator="containsText" text="FALSO">
      <formula>NOT(ISERROR(SEARCH("FALSO",H8)))</formula>
    </cfRule>
    <cfRule type="containsText" dxfId="12" priority="2" operator="containsText" text="VERDADERO">
      <formula>NOT(ISERROR(SEARCH("VERDADERO",H8)))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2:E3 E4:E33 E34:E47 B2:B47" calculatedColumn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259F-2EB2-4096-8478-BFFD3F375953}">
  <dimension ref="A1:H47"/>
  <sheetViews>
    <sheetView workbookViewId="0">
      <selection activeCell="B3" sqref="B3"/>
    </sheetView>
  </sheetViews>
  <sheetFormatPr baseColWidth="10" defaultRowHeight="15" x14ac:dyDescent="0.25"/>
  <cols>
    <col min="1" max="1" width="14.28515625" customWidth="1"/>
    <col min="2" max="2" width="26" customWidth="1"/>
    <col min="5" max="5" width="26" customWidth="1"/>
    <col min="8" max="8" width="13.28515625" customWidth="1"/>
  </cols>
  <sheetData>
    <row r="1" spans="1:8" x14ac:dyDescent="0.25">
      <c r="A1" t="s">
        <v>49</v>
      </c>
      <c r="B1" t="s">
        <v>50</v>
      </c>
      <c r="D1" t="s">
        <v>49</v>
      </c>
      <c r="E1" t="s">
        <v>50</v>
      </c>
    </row>
    <row r="2" spans="1:8" x14ac:dyDescent="0.25">
      <c r="A2" t="s">
        <v>3</v>
      </c>
      <c r="B2">
        <v>0.6</v>
      </c>
      <c r="D2" t="s">
        <v>3</v>
      </c>
      <c r="E2">
        <v>0.2</v>
      </c>
    </row>
    <row r="3" spans="1:8" x14ac:dyDescent="0.25">
      <c r="A3" t="s">
        <v>2</v>
      </c>
      <c r="B3" s="2">
        <f>B2 + $H$3*B2*(B2-$H$4)*(1-B2)</f>
        <v>1.032</v>
      </c>
      <c r="D3" t="s">
        <v>2</v>
      </c>
      <c r="E3" s="2">
        <f>E2 + $H$3*E2*(E2-$H$4)*(1-E2)</f>
        <v>0.10400000000000001</v>
      </c>
      <c r="G3" t="s">
        <v>0</v>
      </c>
      <c r="H3" s="1">
        <v>6</v>
      </c>
    </row>
    <row r="4" spans="1:8" x14ac:dyDescent="0.25">
      <c r="A4" t="s">
        <v>4</v>
      </c>
      <c r="B4" s="2">
        <f t="shared" ref="B4:B47" si="0">B3 + $H$3*B3*(B3-$H$4)*(1-B3)</f>
        <v>0.88695859199999993</v>
      </c>
      <c r="D4" t="s">
        <v>4</v>
      </c>
      <c r="E4" s="2">
        <f t="shared" ref="E4:E47" si="1">E3 + $H$3*E3*(E3-$H$4)*(1-E3)</f>
        <v>-5.5843839999999978E-3</v>
      </c>
      <c r="G4" t="s">
        <v>1</v>
      </c>
      <c r="H4" s="1">
        <v>0.3</v>
      </c>
    </row>
    <row r="5" spans="1:8" x14ac:dyDescent="0.25">
      <c r="A5" t="s">
        <v>5</v>
      </c>
      <c r="B5" s="2">
        <f t="shared" si="0"/>
        <v>1.2400601371747551</v>
      </c>
      <c r="D5" t="s">
        <v>5</v>
      </c>
      <c r="E5" s="2">
        <f t="shared" si="1"/>
        <v>4.7117977939822586E-3</v>
      </c>
    </row>
    <row r="6" spans="1:8" x14ac:dyDescent="0.25">
      <c r="A6" t="s">
        <v>6</v>
      </c>
      <c r="B6" s="2">
        <f t="shared" si="0"/>
        <v>-0.43901327330219453</v>
      </c>
      <c r="D6" t="s">
        <v>6</v>
      </c>
      <c r="E6" s="2">
        <f t="shared" si="1"/>
        <v>-3.5968977760890697E-3</v>
      </c>
      <c r="G6" t="s">
        <v>33</v>
      </c>
      <c r="H6" t="b">
        <f>IF($H$3*(1-$H$4)&lt;2, TRUE, FALSE)</f>
        <v>0</v>
      </c>
    </row>
    <row r="7" spans="1:8" x14ac:dyDescent="0.25">
      <c r="A7" t="s">
        <v>7</v>
      </c>
      <c r="B7" s="2">
        <f t="shared" si="0"/>
        <v>2.3621984810842056</v>
      </c>
      <c r="D7" t="s">
        <v>7</v>
      </c>
      <c r="E7" s="2">
        <f t="shared" si="1"/>
        <v>2.9787112879786524E-3</v>
      </c>
    </row>
    <row r="8" spans="1:8" x14ac:dyDescent="0.25">
      <c r="A8" t="s">
        <v>8</v>
      </c>
      <c r="B8" s="2">
        <f t="shared" si="0"/>
        <v>-37.452047072971276</v>
      </c>
      <c r="D8" t="s">
        <v>8</v>
      </c>
      <c r="E8" s="2">
        <f t="shared" si="1"/>
        <v>-2.3139203827173592E-3</v>
      </c>
      <c r="G8" t="s">
        <v>51</v>
      </c>
      <c r="H8" t="b">
        <f>IF(AND($H$3*$H$4&gt;0, $H$3*$H$4&lt;=2), TRUE, FALSE)</f>
        <v>1</v>
      </c>
    </row>
    <row r="9" spans="1:8" x14ac:dyDescent="0.25">
      <c r="A9" t="s">
        <v>9</v>
      </c>
      <c r="B9" s="2">
        <f t="shared" si="0"/>
        <v>326164.67013546644</v>
      </c>
      <c r="D9" t="s">
        <v>9</v>
      </c>
      <c r="E9" s="2">
        <f t="shared" si="1"/>
        <v>1.8929736165042123E-3</v>
      </c>
    </row>
    <row r="10" spans="1:8" x14ac:dyDescent="0.25">
      <c r="A10" t="s">
        <v>10</v>
      </c>
      <c r="B10" s="2">
        <f>B9 + $H$3*B9*(B9-$H$4)*(1-B9)</f>
        <v>-2.0819019405447299E+17</v>
      </c>
      <c r="D10" t="s">
        <v>10</v>
      </c>
      <c r="E10" s="2">
        <f t="shared" si="1"/>
        <v>-1.4864694692356532E-3</v>
      </c>
    </row>
    <row r="11" spans="1:8" x14ac:dyDescent="0.25">
      <c r="A11" t="s">
        <v>11</v>
      </c>
      <c r="B11" s="2">
        <f t="shared" si="0"/>
        <v>5.4141721476215348E+52</v>
      </c>
      <c r="D11" t="s">
        <v>11</v>
      </c>
      <c r="E11" s="2">
        <f t="shared" si="1"/>
        <v>1.2064300958973596E-3</v>
      </c>
    </row>
    <row r="12" spans="1:8" x14ac:dyDescent="0.25">
      <c r="A12" t="s">
        <v>12</v>
      </c>
      <c r="B12" s="2">
        <f t="shared" si="0"/>
        <v>-9.5224221651989638E+158</v>
      </c>
      <c r="D12" t="s">
        <v>12</v>
      </c>
      <c r="E12" s="2">
        <f t="shared" si="1"/>
        <v>-9.5380191838560649E-4</v>
      </c>
    </row>
    <row r="13" spans="1:8" x14ac:dyDescent="0.25">
      <c r="A13" t="s">
        <v>13</v>
      </c>
      <c r="B13" s="2" t="e">
        <f t="shared" si="0"/>
        <v>#NUM!</v>
      </c>
      <c r="D13" t="s">
        <v>13</v>
      </c>
      <c r="E13" s="2">
        <f t="shared" si="1"/>
        <v>7.7014269814437795E-4</v>
      </c>
    </row>
    <row r="14" spans="1:8" x14ac:dyDescent="0.25">
      <c r="A14" t="s">
        <v>14</v>
      </c>
      <c r="B14" s="2" t="e">
        <f t="shared" si="0"/>
        <v>#NUM!</v>
      </c>
      <c r="D14" t="s">
        <v>14</v>
      </c>
      <c r="E14" s="2">
        <f t="shared" si="1"/>
        <v>-6.114905649877479E-4</v>
      </c>
    </row>
    <row r="15" spans="1:8" x14ac:dyDescent="0.25">
      <c r="A15" t="s">
        <v>15</v>
      </c>
      <c r="B15" s="2" t="e">
        <f t="shared" si="0"/>
        <v>#NUM!</v>
      </c>
      <c r="D15" t="s">
        <v>15</v>
      </c>
      <c r="E15" s="2">
        <f t="shared" si="1"/>
        <v>4.921104054304579E-4</v>
      </c>
    </row>
    <row r="16" spans="1:8" x14ac:dyDescent="0.25">
      <c r="A16" t="s">
        <v>16</v>
      </c>
      <c r="B16" s="2" t="e">
        <f t="shared" si="0"/>
        <v>#NUM!</v>
      </c>
      <c r="D16" t="s">
        <v>16</v>
      </c>
      <c r="E16" s="2">
        <f t="shared" si="1"/>
        <v>-3.9180009271961864E-4</v>
      </c>
    </row>
    <row r="17" spans="1:5" x14ac:dyDescent="0.25">
      <c r="A17" t="s">
        <v>17</v>
      </c>
      <c r="B17" s="2" t="e">
        <f t="shared" si="0"/>
        <v>#NUM!</v>
      </c>
      <c r="D17" t="s">
        <v>17</v>
      </c>
      <c r="E17" s="2">
        <f t="shared" si="1"/>
        <v>3.1463779207948066E-4</v>
      </c>
    </row>
    <row r="18" spans="1:5" x14ac:dyDescent="0.25">
      <c r="A18" t="s">
        <v>18</v>
      </c>
      <c r="B18" s="2" t="e">
        <f t="shared" si="0"/>
        <v>#NUM!</v>
      </c>
      <c r="D18" t="s">
        <v>18</v>
      </c>
      <c r="E18" s="2">
        <f t="shared" si="1"/>
        <v>-2.5093824441906043E-4</v>
      </c>
    </row>
    <row r="19" spans="1:5" x14ac:dyDescent="0.25">
      <c r="A19" t="s">
        <v>19</v>
      </c>
      <c r="B19" s="2" t="e">
        <f t="shared" si="0"/>
        <v>#NUM!</v>
      </c>
      <c r="D19" t="s">
        <v>19</v>
      </c>
      <c r="E19" s="2">
        <f t="shared" si="1"/>
        <v>2.0124185636433422E-4</v>
      </c>
    </row>
    <row r="20" spans="1:5" x14ac:dyDescent="0.25">
      <c r="A20" t="s">
        <v>20</v>
      </c>
      <c r="B20" s="2" t="e">
        <f t="shared" si="0"/>
        <v>#NUM!</v>
      </c>
      <c r="D20" t="s">
        <v>20</v>
      </c>
      <c r="E20" s="2">
        <f t="shared" si="1"/>
        <v>-1.6067764737009418E-4</v>
      </c>
    </row>
    <row r="21" spans="1:5" x14ac:dyDescent="0.25">
      <c r="A21" t="s">
        <v>21</v>
      </c>
      <c r="B21" s="2" t="e">
        <f t="shared" si="0"/>
        <v>#NUM!</v>
      </c>
      <c r="D21" t="s">
        <v>21</v>
      </c>
      <c r="E21" s="2">
        <f t="shared" si="1"/>
        <v>1.2874351777530187E-4</v>
      </c>
    </row>
    <row r="22" spans="1:5" x14ac:dyDescent="0.25">
      <c r="A22" t="s">
        <v>22</v>
      </c>
      <c r="B22" s="2" t="e">
        <f t="shared" si="0"/>
        <v>#NUM!</v>
      </c>
      <c r="D22" t="s">
        <v>22</v>
      </c>
      <c r="E22" s="2">
        <f t="shared" si="1"/>
        <v>-1.0286554285542253E-4</v>
      </c>
    </row>
    <row r="23" spans="1:5" x14ac:dyDescent="0.25">
      <c r="A23" t="s">
        <v>23</v>
      </c>
      <c r="B23" s="2" t="e">
        <f t="shared" si="0"/>
        <v>#NUM!</v>
      </c>
      <c r="D23" t="s">
        <v>23</v>
      </c>
      <c r="E23" s="2">
        <f t="shared" si="1"/>
        <v>8.2374975110331423E-5</v>
      </c>
    </row>
    <row r="24" spans="1:5" x14ac:dyDescent="0.25">
      <c r="A24" t="s">
        <v>24</v>
      </c>
      <c r="B24" s="2" t="e">
        <f t="shared" si="0"/>
        <v>#NUM!</v>
      </c>
      <c r="D24" t="s">
        <v>24</v>
      </c>
      <c r="E24" s="2">
        <f t="shared" si="1"/>
        <v>-6.5847055477174458E-5</v>
      </c>
    </row>
    <row r="25" spans="1:5" x14ac:dyDescent="0.25">
      <c r="A25" t="s">
        <v>25</v>
      </c>
      <c r="B25" s="2" t="e">
        <f t="shared" si="0"/>
        <v>#NUM!</v>
      </c>
      <c r="D25" t="s">
        <v>25</v>
      </c>
      <c r="E25" s="2">
        <f t="shared" si="1"/>
        <v>5.2711465605528366E-5</v>
      </c>
    </row>
    <row r="26" spans="1:5" x14ac:dyDescent="0.25">
      <c r="A26" t="s">
        <v>26</v>
      </c>
      <c r="B26" s="2" t="e">
        <f t="shared" si="0"/>
        <v>#NUM!</v>
      </c>
      <c r="D26" t="s">
        <v>26</v>
      </c>
      <c r="E26" s="2">
        <f t="shared" si="1"/>
        <v>-4.2147501074046094E-5</v>
      </c>
    </row>
    <row r="27" spans="1:5" x14ac:dyDescent="0.25">
      <c r="A27" t="s">
        <v>27</v>
      </c>
      <c r="B27" s="2" t="e">
        <f t="shared" si="0"/>
        <v>#NUM!</v>
      </c>
      <c r="D27" t="s">
        <v>27</v>
      </c>
      <c r="E27" s="2">
        <f t="shared" si="1"/>
        <v>3.3731857320869725E-5</v>
      </c>
    </row>
    <row r="28" spans="1:5" x14ac:dyDescent="0.25">
      <c r="A28" t="s">
        <v>28</v>
      </c>
      <c r="B28" s="2" t="e">
        <f t="shared" si="0"/>
        <v>#NUM!</v>
      </c>
      <c r="D28" t="s">
        <v>28</v>
      </c>
      <c r="E28" s="2">
        <f t="shared" si="1"/>
        <v>-2.6976610949037292E-5</v>
      </c>
    </row>
    <row r="29" spans="1:5" x14ac:dyDescent="0.25">
      <c r="A29" t="s">
        <v>29</v>
      </c>
      <c r="B29" s="2" t="e">
        <f t="shared" si="0"/>
        <v>#NUM!</v>
      </c>
      <c r="D29" t="s">
        <v>29</v>
      </c>
      <c r="E29" s="2">
        <f t="shared" si="1"/>
        <v>2.1586965229819892E-5</v>
      </c>
    </row>
    <row r="30" spans="1:5" x14ac:dyDescent="0.25">
      <c r="A30" t="s">
        <v>30</v>
      </c>
      <c r="B30" s="2" t="e">
        <f t="shared" si="0"/>
        <v>#NUM!</v>
      </c>
      <c r="D30" t="s">
        <v>30</v>
      </c>
      <c r="E30" s="2">
        <f t="shared" si="1"/>
        <v>-1.7265937467083588E-5</v>
      </c>
    </row>
    <row r="31" spans="1:5" x14ac:dyDescent="0.25">
      <c r="A31" t="s">
        <v>31</v>
      </c>
      <c r="B31" s="2" t="e">
        <f t="shared" si="0"/>
        <v>#NUM!</v>
      </c>
      <c r="D31" t="s">
        <v>31</v>
      </c>
      <c r="E31" s="2">
        <f t="shared" si="1"/>
        <v>1.3815075282803641E-5</v>
      </c>
    </row>
    <row r="32" spans="1:5" x14ac:dyDescent="0.25">
      <c r="A32" t="s">
        <v>32</v>
      </c>
      <c r="B32" s="2" t="e">
        <f t="shared" si="0"/>
        <v>#NUM!</v>
      </c>
      <c r="D32" t="s">
        <v>32</v>
      </c>
      <c r="E32" s="2">
        <f t="shared" si="1"/>
        <v>-1.1050571562883534E-5</v>
      </c>
    </row>
    <row r="33" spans="1:5" x14ac:dyDescent="0.25">
      <c r="A33" t="s">
        <v>34</v>
      </c>
      <c r="B33" s="2" t="e">
        <f t="shared" si="0"/>
        <v>#NUM!</v>
      </c>
      <c r="D33" t="s">
        <v>34</v>
      </c>
      <c r="E33" s="2">
        <f t="shared" si="1"/>
        <v>8.8414097564320342E-6</v>
      </c>
    </row>
    <row r="34" spans="1:5" x14ac:dyDescent="0.25">
      <c r="A34" t="s">
        <v>35</v>
      </c>
      <c r="B34" s="2" t="e">
        <f t="shared" si="0"/>
        <v>#NUM!</v>
      </c>
      <c r="D34" t="s">
        <v>35</v>
      </c>
      <c r="E34" s="2">
        <f t="shared" si="1"/>
        <v>-7.072518079185898E-6</v>
      </c>
    </row>
    <row r="35" spans="1:5" x14ac:dyDescent="0.25">
      <c r="A35" t="s">
        <v>36</v>
      </c>
      <c r="B35" s="2" t="e">
        <f t="shared" si="0"/>
        <v>#NUM!</v>
      </c>
      <c r="D35" t="s">
        <v>36</v>
      </c>
      <c r="E35" s="2">
        <f t="shared" si="1"/>
        <v>5.6584046254647907E-6</v>
      </c>
    </row>
    <row r="36" spans="1:5" x14ac:dyDescent="0.25">
      <c r="A36" t="s">
        <v>37</v>
      </c>
      <c r="B36" s="2" t="e">
        <f t="shared" si="0"/>
        <v>#NUM!</v>
      </c>
      <c r="D36" t="s">
        <v>37</v>
      </c>
      <c r="E36" s="2">
        <f t="shared" si="1"/>
        <v>-4.5264739646241775E-6</v>
      </c>
    </row>
    <row r="37" spans="1:5" x14ac:dyDescent="0.25">
      <c r="A37" t="s">
        <v>38</v>
      </c>
      <c r="B37" s="2" t="e">
        <f t="shared" si="0"/>
        <v>#NUM!</v>
      </c>
      <c r="D37" t="s">
        <v>38</v>
      </c>
      <c r="E37" s="2">
        <f t="shared" si="1"/>
        <v>3.6213389861949083E-6</v>
      </c>
    </row>
    <row r="38" spans="1:5" x14ac:dyDescent="0.25">
      <c r="A38" t="s">
        <v>39</v>
      </c>
      <c r="B38" s="2" t="e">
        <f t="shared" si="0"/>
        <v>#NUM!</v>
      </c>
      <c r="D38" t="s">
        <v>39</v>
      </c>
      <c r="E38" s="2">
        <f t="shared" si="1"/>
        <v>-2.8969688992916575E-6</v>
      </c>
    </row>
    <row r="39" spans="1:5" x14ac:dyDescent="0.25">
      <c r="A39" t="s">
        <v>40</v>
      </c>
      <c r="B39" s="2" t="e">
        <f t="shared" si="0"/>
        <v>#NUM!</v>
      </c>
      <c r="D39" t="s">
        <v>40</v>
      </c>
      <c r="E39" s="2">
        <f t="shared" si="1"/>
        <v>2.3176405805238677E-6</v>
      </c>
    </row>
    <row r="40" spans="1:5" x14ac:dyDescent="0.25">
      <c r="A40" t="s">
        <v>41</v>
      </c>
      <c r="B40" s="2" t="e">
        <f t="shared" si="0"/>
        <v>#NUM!</v>
      </c>
      <c r="D40" t="s">
        <v>41</v>
      </c>
      <c r="E40" s="2">
        <f t="shared" si="1"/>
        <v>-1.854070567122477E-6</v>
      </c>
    </row>
    <row r="41" spans="1:5" x14ac:dyDescent="0.25">
      <c r="A41" t="s">
        <v>42</v>
      </c>
      <c r="B41" s="2" t="e">
        <f t="shared" si="0"/>
        <v>#NUM!</v>
      </c>
      <c r="D41" t="s">
        <v>42</v>
      </c>
      <c r="E41" s="2">
        <f t="shared" si="1"/>
        <v>1.483283266842032E-6</v>
      </c>
    </row>
    <row r="42" spans="1:5" x14ac:dyDescent="0.25">
      <c r="A42" t="s">
        <v>43</v>
      </c>
      <c r="B42" s="2" t="e">
        <f t="shared" si="0"/>
        <v>#NUM!</v>
      </c>
      <c r="D42" t="s">
        <v>43</v>
      </c>
      <c r="E42" s="2">
        <f t="shared" si="1"/>
        <v>-1.1866094524850587E-6</v>
      </c>
    </row>
    <row r="43" spans="1:5" x14ac:dyDescent="0.25">
      <c r="A43" t="s">
        <v>44</v>
      </c>
      <c r="B43" s="2" t="e">
        <f t="shared" si="0"/>
        <v>#NUM!</v>
      </c>
      <c r="D43" t="s">
        <v>44</v>
      </c>
      <c r="E43" s="2">
        <f t="shared" si="1"/>
        <v>9.4929854472561477E-7</v>
      </c>
    </row>
    <row r="44" spans="1:5" x14ac:dyDescent="0.25">
      <c r="A44" t="s">
        <v>45</v>
      </c>
      <c r="B44" s="2" t="e">
        <f t="shared" si="0"/>
        <v>#NUM!</v>
      </c>
      <c r="D44" t="s">
        <v>45</v>
      </c>
      <c r="E44" s="2">
        <f t="shared" si="1"/>
        <v>-7.5943180667735388E-7</v>
      </c>
    </row>
    <row r="45" spans="1:5" x14ac:dyDescent="0.25">
      <c r="A45" t="s">
        <v>46</v>
      </c>
      <c r="B45" s="2" t="e">
        <f t="shared" si="0"/>
        <v>#NUM!</v>
      </c>
      <c r="D45" t="s">
        <v>46</v>
      </c>
      <c r="E45" s="2">
        <f t="shared" si="1"/>
        <v>6.0754994389052927E-7</v>
      </c>
    </row>
    <row r="46" spans="1:5" x14ac:dyDescent="0.25">
      <c r="A46" t="s">
        <v>47</v>
      </c>
      <c r="B46" s="2" t="e">
        <f t="shared" si="0"/>
        <v>#NUM!</v>
      </c>
      <c r="D46" t="s">
        <v>47</v>
      </c>
      <c r="E46" s="2">
        <f t="shared" si="1"/>
        <v>-4.8603707600168105E-7</v>
      </c>
    </row>
    <row r="47" spans="1:5" x14ac:dyDescent="0.25">
      <c r="A47" t="s">
        <v>48</v>
      </c>
      <c r="B47" s="2" t="e">
        <f t="shared" si="0"/>
        <v>#NUM!</v>
      </c>
      <c r="D47" t="s">
        <v>48</v>
      </c>
      <c r="E47" s="2">
        <f t="shared" si="1"/>
        <v>3.8883150341193967E-7</v>
      </c>
    </row>
  </sheetData>
  <conditionalFormatting sqref="H6">
    <cfRule type="containsText" dxfId="11" priority="4" operator="containsText" text="FALSO">
      <formula>NOT(ISERROR(SEARCH("FALSO",H6)))</formula>
    </cfRule>
    <cfRule type="containsText" dxfId="10" priority="5" operator="containsText" text="VERDADERO">
      <formula>NOT(ISERROR(SEARCH("VERDADERO",H6)))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ntainsText" dxfId="9" priority="1" operator="containsText" text="FALSO">
      <formula>NOT(ISERROR(SEARCH("FALSO",H8)))</formula>
    </cfRule>
    <cfRule type="containsText" dxfId="8" priority="2" operator="containsText" text="VERDADERO">
      <formula>NOT(ISERROR(SEARCH("VERDADERO",H8)))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B3:B47 E3:E47" calculatedColumn="1"/>
  </ignoredErrors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EF9A-6A77-4873-AA93-A143CE091C83}">
  <dimension ref="A1:H47"/>
  <sheetViews>
    <sheetView tabSelected="1" workbookViewId="0">
      <selection activeCell="B3" sqref="B3"/>
    </sheetView>
  </sheetViews>
  <sheetFormatPr baseColWidth="10" defaultRowHeight="15" x14ac:dyDescent="0.25"/>
  <cols>
    <col min="1" max="1" width="14.28515625" customWidth="1"/>
    <col min="2" max="2" width="26" customWidth="1"/>
    <col min="4" max="4" width="14.28515625" customWidth="1"/>
    <col min="5" max="5" width="26" customWidth="1"/>
    <col min="8" max="8" width="13.5703125" customWidth="1"/>
  </cols>
  <sheetData>
    <row r="1" spans="1:8" x14ac:dyDescent="0.25">
      <c r="A1" t="s">
        <v>49</v>
      </c>
      <c r="B1" t="s">
        <v>50</v>
      </c>
      <c r="D1" t="s">
        <v>49</v>
      </c>
      <c r="E1" t="s">
        <v>50</v>
      </c>
    </row>
    <row r="2" spans="1:8" x14ac:dyDescent="0.25">
      <c r="A2" t="s">
        <v>3</v>
      </c>
      <c r="B2">
        <v>0.8</v>
      </c>
      <c r="D2" t="s">
        <v>3</v>
      </c>
      <c r="E2">
        <v>0.4</v>
      </c>
    </row>
    <row r="3" spans="1:8" x14ac:dyDescent="0.25">
      <c r="A3" t="s">
        <v>2</v>
      </c>
      <c r="B3" s="2">
        <f>B2 + $H$3*B2*(B2-$H$4)*(1-B2)</f>
        <v>0.89600000000000013</v>
      </c>
      <c r="D3" t="s">
        <v>2</v>
      </c>
      <c r="E3" s="2">
        <f>E2 + $H$3*E2*(E2-$H$4)*(1-E2)</f>
        <v>-3.1999999999999973E-2</v>
      </c>
      <c r="G3" t="s">
        <v>0</v>
      </c>
      <c r="H3" s="1">
        <v>6</v>
      </c>
    </row>
    <row r="4" spans="1:8" x14ac:dyDescent="0.25">
      <c r="A4" t="s">
        <v>4</v>
      </c>
      <c r="B4" s="2">
        <f t="shared" ref="B4:B47" si="0">B3 + $H$3*B3*(B3-$H$4)*(1-B3)</f>
        <v>1.0055843840000001</v>
      </c>
      <c r="D4" t="s">
        <v>4</v>
      </c>
      <c r="E4" s="2">
        <f t="shared" ref="E4:E47" si="1">E3 + $H$3*E3*(E3-$H$4)*(1-E3)</f>
        <v>0.11304140799999993</v>
      </c>
      <c r="G4" t="s">
        <v>1</v>
      </c>
      <c r="H4" s="1">
        <v>0.7</v>
      </c>
    </row>
    <row r="5" spans="1:8" x14ac:dyDescent="0.25">
      <c r="A5" t="s">
        <v>5</v>
      </c>
      <c r="B5" s="2">
        <f t="shared" si="0"/>
        <v>0.99528820220601766</v>
      </c>
      <c r="D5" t="s">
        <v>5</v>
      </c>
      <c r="E5" s="2">
        <f t="shared" si="1"/>
        <v>-0.24006013717475475</v>
      </c>
    </row>
    <row r="6" spans="1:8" x14ac:dyDescent="0.25">
      <c r="A6" t="s">
        <v>6</v>
      </c>
      <c r="B6" s="2">
        <f t="shared" si="0"/>
        <v>1.0035968977760892</v>
      </c>
      <c r="D6" t="s">
        <v>6</v>
      </c>
      <c r="E6" s="2">
        <f t="shared" si="1"/>
        <v>1.4390132733021916</v>
      </c>
      <c r="G6" t="s">
        <v>33</v>
      </c>
      <c r="H6" t="b">
        <f>IF($H$3*(1-$H$4)&lt;2, TRUE, FALSE)</f>
        <v>1</v>
      </c>
    </row>
    <row r="7" spans="1:8" x14ac:dyDescent="0.25">
      <c r="A7" t="s">
        <v>7</v>
      </c>
      <c r="B7" s="2">
        <f t="shared" si="0"/>
        <v>0.99702128871202123</v>
      </c>
      <c r="D7" t="s">
        <v>7</v>
      </c>
      <c r="E7" s="2">
        <f t="shared" si="1"/>
        <v>-1.3621984810841736</v>
      </c>
    </row>
    <row r="8" spans="1:8" x14ac:dyDescent="0.25">
      <c r="A8" t="s">
        <v>8</v>
      </c>
      <c r="B8" s="2">
        <f t="shared" si="0"/>
        <v>1.0023139203827174</v>
      </c>
      <c r="D8" t="s">
        <v>8</v>
      </c>
      <c r="E8" s="2">
        <f t="shared" si="1"/>
        <v>38.452047072969222</v>
      </c>
      <c r="G8" t="s">
        <v>51</v>
      </c>
      <c r="H8" t="b">
        <f>IF(AND($H$3*$H$4&gt;0, $H$3*$H$4&lt;=2), TRUE, FALSE)</f>
        <v>0</v>
      </c>
    </row>
    <row r="9" spans="1:8" x14ac:dyDescent="0.25">
      <c r="A9" t="s">
        <v>9</v>
      </c>
      <c r="B9" s="2">
        <f t="shared" si="0"/>
        <v>0.9981070263834958</v>
      </c>
      <c r="D9" t="s">
        <v>9</v>
      </c>
      <c r="E9" s="2">
        <f t="shared" si="1"/>
        <v>-326163.67013541341</v>
      </c>
    </row>
    <row r="10" spans="1:8" x14ac:dyDescent="0.25">
      <c r="A10" t="s">
        <v>10</v>
      </c>
      <c r="B10" s="2">
        <f>B9 + $H$3*B9*(B9-$H$4)*(1-B9)</f>
        <v>1.0014864694692356</v>
      </c>
      <c r="D10" t="s">
        <v>10</v>
      </c>
      <c r="E10" s="2">
        <f t="shared" si="1"/>
        <v>2.0819019405437146E+17</v>
      </c>
    </row>
    <row r="11" spans="1:8" x14ac:dyDescent="0.25">
      <c r="A11" t="s">
        <v>11</v>
      </c>
      <c r="B11" s="2">
        <f t="shared" si="0"/>
        <v>0.99879356990410273</v>
      </c>
      <c r="D11" t="s">
        <v>11</v>
      </c>
      <c r="E11" s="2">
        <f t="shared" si="1"/>
        <v>-5.4141721476136126E+52</v>
      </c>
    </row>
    <row r="12" spans="1:8" x14ac:dyDescent="0.25">
      <c r="A12" t="s">
        <v>12</v>
      </c>
      <c r="B12" s="2">
        <f t="shared" si="0"/>
        <v>1.0009538019183855</v>
      </c>
      <c r="D12" t="s">
        <v>12</v>
      </c>
      <c r="E12" s="2">
        <f t="shared" si="1"/>
        <v>9.5224221651571616E+158</v>
      </c>
    </row>
    <row r="13" spans="1:8" x14ac:dyDescent="0.25">
      <c r="A13" t="s">
        <v>13</v>
      </c>
      <c r="B13" s="2">
        <f t="shared" si="0"/>
        <v>0.99922985730185576</v>
      </c>
      <c r="D13" t="s">
        <v>13</v>
      </c>
      <c r="E13" s="2" t="e">
        <f t="shared" si="1"/>
        <v>#NUM!</v>
      </c>
    </row>
    <row r="14" spans="1:8" x14ac:dyDescent="0.25">
      <c r="A14" t="s">
        <v>14</v>
      </c>
      <c r="B14" s="2">
        <f t="shared" si="0"/>
        <v>1.0006114905649877</v>
      </c>
      <c r="D14" t="s">
        <v>14</v>
      </c>
      <c r="E14" s="2" t="e">
        <f t="shared" si="1"/>
        <v>#NUM!</v>
      </c>
    </row>
    <row r="15" spans="1:8" x14ac:dyDescent="0.25">
      <c r="A15" t="s">
        <v>15</v>
      </c>
      <c r="B15" s="2">
        <f t="shared" si="0"/>
        <v>0.9995078895945696</v>
      </c>
      <c r="D15" t="s">
        <v>15</v>
      </c>
      <c r="E15" s="2" t="e">
        <f t="shared" si="1"/>
        <v>#NUM!</v>
      </c>
    </row>
    <row r="16" spans="1:8" x14ac:dyDescent="0.25">
      <c r="A16" t="s">
        <v>16</v>
      </c>
      <c r="B16" s="2">
        <f t="shared" si="0"/>
        <v>1.0003918000927197</v>
      </c>
      <c r="D16" t="s">
        <v>16</v>
      </c>
      <c r="E16" s="2" t="e">
        <f t="shared" si="1"/>
        <v>#NUM!</v>
      </c>
    </row>
    <row r="17" spans="1:5" x14ac:dyDescent="0.25">
      <c r="A17" t="s">
        <v>17</v>
      </c>
      <c r="B17" s="2">
        <f t="shared" si="0"/>
        <v>0.99968536220792048</v>
      </c>
      <c r="D17" t="s">
        <v>17</v>
      </c>
      <c r="E17" s="2" t="e">
        <f t="shared" si="1"/>
        <v>#NUM!</v>
      </c>
    </row>
    <row r="18" spans="1:5" x14ac:dyDescent="0.25">
      <c r="A18" t="s">
        <v>18</v>
      </c>
      <c r="B18" s="2">
        <f t="shared" si="0"/>
        <v>1.0002509382444191</v>
      </c>
      <c r="D18" t="s">
        <v>18</v>
      </c>
      <c r="E18" s="2" t="e">
        <f t="shared" si="1"/>
        <v>#NUM!</v>
      </c>
    </row>
    <row r="19" spans="1:5" x14ac:dyDescent="0.25">
      <c r="A19" t="s">
        <v>19</v>
      </c>
      <c r="B19" s="2">
        <f t="shared" si="0"/>
        <v>0.99979875814363561</v>
      </c>
      <c r="D19" t="s">
        <v>19</v>
      </c>
      <c r="E19" s="2" t="e">
        <f t="shared" si="1"/>
        <v>#NUM!</v>
      </c>
    </row>
    <row r="20" spans="1:5" x14ac:dyDescent="0.25">
      <c r="A20" t="s">
        <v>20</v>
      </c>
      <c r="B20" s="2">
        <f t="shared" si="0"/>
        <v>1.0001606776473702</v>
      </c>
      <c r="D20" t="s">
        <v>20</v>
      </c>
      <c r="E20" s="2" t="e">
        <f t="shared" si="1"/>
        <v>#NUM!</v>
      </c>
    </row>
    <row r="21" spans="1:5" x14ac:dyDescent="0.25">
      <c r="A21" t="s">
        <v>21</v>
      </c>
      <c r="B21" s="2">
        <f t="shared" si="0"/>
        <v>0.99987125648222464</v>
      </c>
      <c r="D21" t="s">
        <v>21</v>
      </c>
      <c r="E21" s="2" t="e">
        <f t="shared" si="1"/>
        <v>#NUM!</v>
      </c>
    </row>
    <row r="22" spans="1:5" x14ac:dyDescent="0.25">
      <c r="A22" t="s">
        <v>22</v>
      </c>
      <c r="B22" s="2">
        <f t="shared" si="0"/>
        <v>1.0001028655428554</v>
      </c>
      <c r="D22" t="s">
        <v>22</v>
      </c>
      <c r="E22" s="2" t="e">
        <f t="shared" si="1"/>
        <v>#NUM!</v>
      </c>
    </row>
    <row r="23" spans="1:5" x14ac:dyDescent="0.25">
      <c r="A23" t="s">
        <v>23</v>
      </c>
      <c r="B23" s="2">
        <f t="shared" si="0"/>
        <v>0.99991762502488968</v>
      </c>
      <c r="D23" t="s">
        <v>23</v>
      </c>
      <c r="E23" s="2" t="e">
        <f t="shared" si="1"/>
        <v>#NUM!</v>
      </c>
    </row>
    <row r="24" spans="1:5" x14ac:dyDescent="0.25">
      <c r="A24" t="s">
        <v>24</v>
      </c>
      <c r="B24" s="2">
        <f t="shared" si="0"/>
        <v>1.0000658470554771</v>
      </c>
      <c r="D24" t="s">
        <v>24</v>
      </c>
      <c r="E24" s="2" t="e">
        <f t="shared" si="1"/>
        <v>#NUM!</v>
      </c>
    </row>
    <row r="25" spans="1:5" x14ac:dyDescent="0.25">
      <c r="A25" t="s">
        <v>25</v>
      </c>
      <c r="B25" s="2">
        <f t="shared" si="0"/>
        <v>0.99994728853439452</v>
      </c>
      <c r="D25" t="s">
        <v>25</v>
      </c>
      <c r="E25" s="2" t="e">
        <f t="shared" si="1"/>
        <v>#NUM!</v>
      </c>
    </row>
    <row r="26" spans="1:5" x14ac:dyDescent="0.25">
      <c r="A26" t="s">
        <v>26</v>
      </c>
      <c r="B26" s="2">
        <f t="shared" si="0"/>
        <v>1.0000421475010741</v>
      </c>
      <c r="D26" t="s">
        <v>26</v>
      </c>
      <c r="E26" s="2" t="e">
        <f t="shared" si="1"/>
        <v>#NUM!</v>
      </c>
    </row>
    <row r="27" spans="1:5" x14ac:dyDescent="0.25">
      <c r="A27" t="s">
        <v>27</v>
      </c>
      <c r="B27" s="2">
        <f t="shared" si="0"/>
        <v>0.99996626814267908</v>
      </c>
      <c r="D27" t="s">
        <v>27</v>
      </c>
      <c r="E27" s="2" t="e">
        <f t="shared" si="1"/>
        <v>#NUM!</v>
      </c>
    </row>
    <row r="28" spans="1:5" x14ac:dyDescent="0.25">
      <c r="A28" t="s">
        <v>28</v>
      </c>
      <c r="B28" s="2">
        <f t="shared" si="0"/>
        <v>1.0000269766109491</v>
      </c>
      <c r="D28" t="s">
        <v>28</v>
      </c>
      <c r="E28" s="2" t="e">
        <f t="shared" si="1"/>
        <v>#NUM!</v>
      </c>
    </row>
    <row r="29" spans="1:5" x14ac:dyDescent="0.25">
      <c r="A29" t="s">
        <v>29</v>
      </c>
      <c r="B29" s="2">
        <f t="shared" si="0"/>
        <v>0.9999784130347702</v>
      </c>
      <c r="D29" t="s">
        <v>29</v>
      </c>
      <c r="E29" s="2" t="e">
        <f t="shared" si="1"/>
        <v>#NUM!</v>
      </c>
    </row>
    <row r="30" spans="1:5" x14ac:dyDescent="0.25">
      <c r="A30" t="s">
        <v>30</v>
      </c>
      <c r="B30" s="2">
        <f t="shared" si="0"/>
        <v>1.0000172659374671</v>
      </c>
      <c r="D30" t="s">
        <v>30</v>
      </c>
      <c r="E30" s="2" t="e">
        <f t="shared" si="1"/>
        <v>#NUM!</v>
      </c>
    </row>
    <row r="31" spans="1:5" x14ac:dyDescent="0.25">
      <c r="A31" t="s">
        <v>31</v>
      </c>
      <c r="B31" s="2">
        <f t="shared" si="0"/>
        <v>0.99998618492471714</v>
      </c>
      <c r="D31" t="s">
        <v>31</v>
      </c>
      <c r="E31" s="2" t="e">
        <f t="shared" si="1"/>
        <v>#NUM!</v>
      </c>
    </row>
    <row r="32" spans="1:5" x14ac:dyDescent="0.25">
      <c r="A32" t="s">
        <v>32</v>
      </c>
      <c r="B32" s="2">
        <f t="shared" si="0"/>
        <v>1.0000110505715629</v>
      </c>
      <c r="D32" t="s">
        <v>32</v>
      </c>
      <c r="E32" s="2" t="e">
        <f t="shared" si="1"/>
        <v>#NUM!</v>
      </c>
    </row>
    <row r="33" spans="1:5" x14ac:dyDescent="0.25">
      <c r="A33" t="s">
        <v>34</v>
      </c>
      <c r="B33" s="2">
        <f t="shared" si="0"/>
        <v>0.99999115859024357</v>
      </c>
      <c r="D33" t="s">
        <v>34</v>
      </c>
      <c r="E33" s="2" t="e">
        <f t="shared" si="1"/>
        <v>#NUM!</v>
      </c>
    </row>
    <row r="34" spans="1:5" x14ac:dyDescent="0.25">
      <c r="A34" t="s">
        <v>35</v>
      </c>
      <c r="B34" s="2">
        <f t="shared" si="0"/>
        <v>1.0000070725180792</v>
      </c>
      <c r="D34" t="s">
        <v>35</v>
      </c>
      <c r="E34" s="2" t="e">
        <f t="shared" si="1"/>
        <v>#NUM!</v>
      </c>
    </row>
    <row r="35" spans="1:5" x14ac:dyDescent="0.25">
      <c r="A35" t="s">
        <v>36</v>
      </c>
      <c r="B35" s="2">
        <f t="shared" si="0"/>
        <v>0.99999434159537448</v>
      </c>
      <c r="D35" t="s">
        <v>36</v>
      </c>
      <c r="E35" s="2" t="e">
        <f t="shared" si="1"/>
        <v>#NUM!</v>
      </c>
    </row>
    <row r="36" spans="1:5" x14ac:dyDescent="0.25">
      <c r="A36" t="s">
        <v>37</v>
      </c>
      <c r="B36" s="2">
        <f t="shared" si="0"/>
        <v>1.0000045264739648</v>
      </c>
      <c r="D36" t="s">
        <v>37</v>
      </c>
      <c r="E36" s="2" t="e">
        <f t="shared" si="1"/>
        <v>#NUM!</v>
      </c>
    </row>
    <row r="37" spans="1:5" x14ac:dyDescent="0.25">
      <c r="A37" t="s">
        <v>38</v>
      </c>
      <c r="B37" s="2">
        <f t="shared" si="0"/>
        <v>0.99999637866101365</v>
      </c>
      <c r="D37" t="s">
        <v>38</v>
      </c>
      <c r="E37" s="2" t="e">
        <f t="shared" si="1"/>
        <v>#NUM!</v>
      </c>
    </row>
    <row r="38" spans="1:5" x14ac:dyDescent="0.25">
      <c r="A38" t="s">
        <v>39</v>
      </c>
      <c r="B38" s="2">
        <f t="shared" si="0"/>
        <v>1.0000028969688994</v>
      </c>
      <c r="D38" t="s">
        <v>39</v>
      </c>
      <c r="E38" s="2" t="e">
        <f t="shared" si="1"/>
        <v>#NUM!</v>
      </c>
    </row>
    <row r="39" spans="1:5" x14ac:dyDescent="0.25">
      <c r="A39" t="s">
        <v>40</v>
      </c>
      <c r="B39" s="2">
        <f t="shared" si="0"/>
        <v>0.99999768235941933</v>
      </c>
      <c r="D39" t="s">
        <v>40</v>
      </c>
      <c r="E39" s="2" t="e">
        <f t="shared" si="1"/>
        <v>#NUM!</v>
      </c>
    </row>
    <row r="40" spans="1:5" x14ac:dyDescent="0.25">
      <c r="A40" t="s">
        <v>41</v>
      </c>
      <c r="B40" s="2">
        <f t="shared" si="0"/>
        <v>1.0000018540705673</v>
      </c>
      <c r="D40" t="s">
        <v>41</v>
      </c>
      <c r="E40" s="2" t="e">
        <f t="shared" si="1"/>
        <v>#NUM!</v>
      </c>
    </row>
    <row r="41" spans="1:5" x14ac:dyDescent="0.25">
      <c r="A41" t="s">
        <v>42</v>
      </c>
      <c r="B41" s="2">
        <f t="shared" si="0"/>
        <v>0.99999851671673301</v>
      </c>
      <c r="D41" t="s">
        <v>42</v>
      </c>
      <c r="E41" s="2" t="e">
        <f t="shared" si="1"/>
        <v>#NUM!</v>
      </c>
    </row>
    <row r="42" spans="1:5" x14ac:dyDescent="0.25">
      <c r="A42" t="s">
        <v>43</v>
      </c>
      <c r="B42" s="2">
        <f t="shared" si="0"/>
        <v>1.0000011866094527</v>
      </c>
      <c r="D42" t="s">
        <v>43</v>
      </c>
      <c r="E42" s="2" t="e">
        <f t="shared" si="1"/>
        <v>#NUM!</v>
      </c>
    </row>
    <row r="43" spans="1:5" x14ac:dyDescent="0.25">
      <c r="A43" t="s">
        <v>44</v>
      </c>
      <c r="B43" s="2">
        <f t="shared" si="0"/>
        <v>0.99999905070145512</v>
      </c>
      <c r="D43" t="s">
        <v>44</v>
      </c>
      <c r="E43" s="2" t="e">
        <f t="shared" si="1"/>
        <v>#NUM!</v>
      </c>
    </row>
    <row r="44" spans="1:5" x14ac:dyDescent="0.25">
      <c r="A44" t="s">
        <v>45</v>
      </c>
      <c r="B44" s="2">
        <f t="shared" si="0"/>
        <v>1.0000007594318068</v>
      </c>
      <c r="D44" t="s">
        <v>45</v>
      </c>
      <c r="E44" s="2" t="e">
        <f t="shared" si="1"/>
        <v>#NUM!</v>
      </c>
    </row>
    <row r="45" spans="1:5" x14ac:dyDescent="0.25">
      <c r="A45" t="s">
        <v>46</v>
      </c>
      <c r="B45" s="2">
        <f t="shared" si="0"/>
        <v>0.99999939245005598</v>
      </c>
      <c r="D45" t="s">
        <v>46</v>
      </c>
      <c r="E45" s="2" t="e">
        <f t="shared" si="1"/>
        <v>#NUM!</v>
      </c>
    </row>
    <row r="46" spans="1:5" x14ac:dyDescent="0.25">
      <c r="A46" t="s">
        <v>47</v>
      </c>
      <c r="B46" s="2">
        <f t="shared" si="0"/>
        <v>1.0000004860370761</v>
      </c>
      <c r="D46" t="s">
        <v>47</v>
      </c>
      <c r="E46" s="2" t="e">
        <f t="shared" si="1"/>
        <v>#NUM!</v>
      </c>
    </row>
    <row r="47" spans="1:5" x14ac:dyDescent="0.25">
      <c r="A47" t="s">
        <v>48</v>
      </c>
      <c r="B47" s="2">
        <f t="shared" si="0"/>
        <v>0.99999961116849645</v>
      </c>
      <c r="D47" t="s">
        <v>48</v>
      </c>
      <c r="E47" s="2" t="e">
        <f t="shared" si="1"/>
        <v>#NUM!</v>
      </c>
    </row>
  </sheetData>
  <conditionalFormatting sqref="H6">
    <cfRule type="containsText" dxfId="5" priority="4" operator="containsText" text="FALSO">
      <formula>NOT(ISERROR(SEARCH("FALSO",H6)))</formula>
    </cfRule>
    <cfRule type="containsText" dxfId="4" priority="5" operator="containsText" text="VERDADERO">
      <formula>NOT(ISERROR(SEARCH("VERDADERO",H6)))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ntainsText" dxfId="3" priority="1" operator="containsText" text="FALSO">
      <formula>NOT(ISERROR(SEARCH("FALSO",H8)))</formula>
    </cfRule>
    <cfRule type="containsText" dxfId="2" priority="2" operator="containsText" text="VERDADERO">
      <formula>NOT(ISERROR(SEARCH("VERDADERO",H8)))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B3:B47 E2:E47" calculatedColumn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ESTABLE</vt:lpstr>
      <vt:lpstr>INESTABLE</vt:lpstr>
      <vt:lpstr>x=0</vt:lpstr>
      <vt:lpstr>x=1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x</dc:creator>
  <cp:lastModifiedBy>JUAN x</cp:lastModifiedBy>
  <dcterms:created xsi:type="dcterms:W3CDTF">2015-06-05T18:17:20Z</dcterms:created>
  <dcterms:modified xsi:type="dcterms:W3CDTF">2025-04-27T11:02:29Z</dcterms:modified>
</cp:coreProperties>
</file>