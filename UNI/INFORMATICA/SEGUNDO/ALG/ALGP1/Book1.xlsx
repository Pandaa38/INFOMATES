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ubble" sheetId="1" state="visible" r:id="rId3"/>
    <sheet name="Hoja1" sheetId="2" state="visible" r:id="rId4"/>
    <sheet name="merge" sheetId="3" state="visible" r:id="rId5"/>
    <sheet name="quic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<sst xmlns="http://schemas.openxmlformats.org/spreadsheetml/2006/main" count="17" uniqueCount="8">
  <si>
    <t xml:space="preserve">TAMAÑO</t>
  </si>
  <si>
    <t xml:space="preserve">TIEMPO (us)</t>
  </si>
  <si>
    <t xml:space="preserve">TIEMPO/f(n)</t>
  </si>
  <si>
    <t xml:space="preserve">TIEMPO TEORICO (Kpromedio)</t>
  </si>
  <si>
    <t xml:space="preserve">TIEMPO TEORICO (K max)</t>
  </si>
  <si>
    <t xml:space="preserve">K promedio</t>
  </si>
  <si>
    <t xml:space="preserve">K elegida</t>
  </si>
  <si>
    <t xml:space="preserve">TIEMPO TEORICO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</si>
</sst>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4"/>
      <color rgb="FF000000"/>
      <name val="Calibri"/>
      <family val="2"/>
    </font>
    <font>
      <sz val="9"/>
      <color rgb="FF000000"/>
      <name val="Calibri"/>
      <family val="2"/>
    </font>
    <font>
      <u val="singl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en-US" sz="1400" spc="-1" strike="noStrike">
                <a:solidFill>
                  <a:srgbClr val="000000"/>
                </a:solidFill>
                <a:latin typeface="Calibri"/>
              </a:rPr>
              <a:t>bubbleSort</a:t>
            </a:r>
          </a:p>
        </c:rich>
      </c:tx>
      <c:layout>
        <c:manualLayout>
          <c:xMode val="edge"/>
          <c:yMode val="edge"/>
          <c:x val="0.434626865671642"/>
          <c:y val="0.0324047754405913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94979647218453"/>
          <c:y val="0.127913587265492"/>
          <c:w val="0.756906377204885"/>
          <c:h val="0.802255069168088"/>
        </c:manualLayout>
      </c:layout>
      <c:scatterChart>
        <c:scatterStyle val="lineMarker"/>
        <c:varyColors val="0"/>
        <c:ser>
          <c:idx val="0"/>
          <c:order val="0"/>
          <c:tx>
            <c:strRef>
              <c:f>"REAL"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bubble!$A$2:$A$13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</c:numCache>
            </c:numRef>
          </c:xVal>
          <c:yVal>
            <c:numRef>
              <c:f>bubble!$B$2:$B$13</c:f>
              <c:numCache>
                <c:formatCode>General</c:formatCode>
                <c:ptCount val="12"/>
                <c:pt idx="0">
                  <c:v>7829</c:v>
                </c:pt>
                <c:pt idx="1">
                  <c:v>32195</c:v>
                </c:pt>
                <c:pt idx="2">
                  <c:v>72938</c:v>
                </c:pt>
                <c:pt idx="3">
                  <c:v>131458</c:v>
                </c:pt>
                <c:pt idx="4">
                  <c:v>208664</c:v>
                </c:pt>
                <c:pt idx="5">
                  <c:v>297741</c:v>
                </c:pt>
                <c:pt idx="6">
                  <c:v>407043</c:v>
                </c:pt>
                <c:pt idx="7">
                  <c:v>535867</c:v>
                </c:pt>
                <c:pt idx="8">
                  <c:v>675606</c:v>
                </c:pt>
                <c:pt idx="9">
                  <c:v>837917</c:v>
                </c:pt>
                <c:pt idx="10">
                  <c:v>1015483</c:v>
                </c:pt>
                <c:pt idx="11">
                  <c:v>1206883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"TEORICO"</c:f>
              <c:strCache>
                <c:ptCount val="1"/>
                <c:pt idx="0">
                  <c:v>TEORICO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bubble!$A$2:$A$13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</c:numCache>
            </c:numRef>
          </c:xVal>
          <c:yVal>
            <c:numRef>
              <c:f>bubble!$E$2:$E$13</c:f>
              <c:numCache>
                <c:formatCode>General</c:formatCode>
                <c:ptCount val="12"/>
                <c:pt idx="0">
                  <c:v>8392.42148760331</c:v>
                </c:pt>
                <c:pt idx="1">
                  <c:v>33569.6859504132</c:v>
                </c:pt>
                <c:pt idx="2">
                  <c:v>75531.7933884298</c:v>
                </c:pt>
                <c:pt idx="3">
                  <c:v>134278.743801653</c:v>
                </c:pt>
                <c:pt idx="4">
                  <c:v>209810.537190083</c:v>
                </c:pt>
                <c:pt idx="5">
                  <c:v>302127.173553719</c:v>
                </c:pt>
                <c:pt idx="6">
                  <c:v>411228.652892562</c:v>
                </c:pt>
                <c:pt idx="7">
                  <c:v>537114.975206612</c:v>
                </c:pt>
                <c:pt idx="8">
                  <c:v>679786.140495868</c:v>
                </c:pt>
                <c:pt idx="9">
                  <c:v>839242.148760331</c:v>
                </c:pt>
                <c:pt idx="10">
                  <c:v>1015483</c:v>
                </c:pt>
                <c:pt idx="11">
                  <c:v>1208508.69421488</c:v>
                </c:pt>
              </c:numCache>
            </c:numRef>
          </c:yVal>
          <c:smooth val="0"/>
        </c:ser>
        <c:axId val="50116064"/>
        <c:axId val="48701923"/>
      </c:scatterChart>
      <c:valAx>
        <c:axId val="5011606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01923"/>
        <c:crosses val="autoZero"/>
        <c:crossBetween val="midCat"/>
      </c:valAx>
      <c:valAx>
        <c:axId val="4870192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1606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00000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162000</xdr:rowOff>
    </xdr:from>
    <xdr:to>
      <xdr:col>17</xdr:col>
      <xdr:colOff>37800</xdr:colOff>
      <xdr:row>33</xdr:row>
      <xdr:rowOff>150840</xdr:rowOff>
    </xdr:to>
    <xdr:graphicFrame>
      <xdr:nvGraphicFramePr>
        <xdr:cNvPr id="0" name="Gráfico 2"/>
        <xdr:cNvGraphicFramePr/>
      </xdr:nvGraphicFramePr>
      <xdr:xfrm>
        <a:off x="12458880" y="2638440"/>
        <a:ext cx="6632640" cy="379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6.43"/>
    <col collapsed="false" customWidth="true" hidden="false" outlineLevel="0" max="2" min="2" style="0" width="23.72"/>
    <col collapsed="false" customWidth="true" hidden="false" outlineLevel="0" max="3" min="3" style="0" width="23.15"/>
    <col collapsed="false" customWidth="true" hidden="false" outlineLevel="0" max="4" min="4" style="0" width="28"/>
    <col collapsed="false" customWidth="true" hidden="false" outlineLevel="0" max="5" min="5" style="0" width="24.86"/>
    <col collapsed="false" customWidth="true" hidden="false" outlineLevel="0" max="6" min="6" style="0" width="13"/>
    <col collapsed="false" customWidth="true" hidden="false" outlineLevel="0" max="9" min="9" style="0" width="8.29"/>
    <col collapsed="false" customWidth="true" hidden="false" outlineLevel="0" max="10" min="10" style="0" width="18.43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1" t="n">
        <v>1000</v>
      </c>
      <c r="B2" s="0" t="n">
        <v>7829</v>
      </c>
      <c r="C2" s="2" t="n">
        <f aca="false">B2/(A2*A2)</f>
        <v>0.007829</v>
      </c>
      <c r="D2" s="2" t="n">
        <f aca="false">$H$7*A2*A2</f>
        <v>8249.05838978485</v>
      </c>
      <c r="E2" s="2" t="n">
        <f aca="false">$H$9 * A2*A2</f>
        <v>8392.42148760331</v>
      </c>
      <c r="J2" s="3" t="b">
        <f aca="false">B2&lt;=E2</f>
        <v>1</v>
      </c>
    </row>
    <row r="3" customFormat="false" ht="15" hidden="false" customHeight="false" outlineLevel="0" collapsed="false">
      <c r="A3" s="1" t="n">
        <v>2000</v>
      </c>
      <c r="B3" s="0" t="n">
        <v>32195</v>
      </c>
      <c r="C3" s="2" t="n">
        <f aca="false">B3/(A3*A3)</f>
        <v>0.00804875</v>
      </c>
      <c r="D3" s="2" t="n">
        <f aca="false">$H$7*A3*A3</f>
        <v>32996.2335591394</v>
      </c>
      <c r="E3" s="2" t="n">
        <f aca="false">$H$9 * A3*A3</f>
        <v>33569.6859504132</v>
      </c>
      <c r="J3" s="3" t="b">
        <f aca="false">B3&lt;=E3</f>
        <v>1</v>
      </c>
    </row>
    <row r="4" customFormat="false" ht="15" hidden="false" customHeight="false" outlineLevel="0" collapsed="false">
      <c r="A4" s="1" t="n">
        <v>3000</v>
      </c>
      <c r="B4" s="0" t="n">
        <v>72938</v>
      </c>
      <c r="C4" s="2" t="n">
        <f aca="false">B4/(A4*A4)</f>
        <v>0.00810422222222222</v>
      </c>
      <c r="D4" s="2" t="n">
        <f aca="false">$H$7*A4*A4</f>
        <v>74241.5255080636</v>
      </c>
      <c r="E4" s="2" t="n">
        <f aca="false">$H$9 * A4*A4</f>
        <v>75531.7933884298</v>
      </c>
      <c r="J4" s="3" t="b">
        <f aca="false">B4&lt;=E4</f>
        <v>1</v>
      </c>
    </row>
    <row r="5" customFormat="false" ht="15" hidden="false" customHeight="false" outlineLevel="0" collapsed="false">
      <c r="A5" s="1" t="n">
        <v>4000</v>
      </c>
      <c r="B5" s="0" t="n">
        <v>131458</v>
      </c>
      <c r="C5" s="2" t="n">
        <f aca="false">B5/(A5*A5)</f>
        <v>0.008216125</v>
      </c>
      <c r="D5" s="2" t="n">
        <f aca="false">$H$7*A5*A5</f>
        <v>131984.934236558</v>
      </c>
      <c r="E5" s="2" t="n">
        <f aca="false">$H$9 * A5*A5</f>
        <v>134278.743801653</v>
      </c>
      <c r="J5" s="3" t="b">
        <f aca="false">B5&lt;=E5</f>
        <v>1</v>
      </c>
    </row>
    <row r="6" customFormat="false" ht="15" hidden="false" customHeight="false" outlineLevel="0" collapsed="false">
      <c r="A6" s="1" t="n">
        <v>5000</v>
      </c>
      <c r="B6" s="0" t="n">
        <v>208664</v>
      </c>
      <c r="C6" s="2" t="n">
        <f aca="false">B6/(A6*A6)</f>
        <v>0.00834656</v>
      </c>
      <c r="D6" s="2" t="n">
        <f aca="false">$H$7*A6*A6</f>
        <v>206226.459744621</v>
      </c>
      <c r="E6" s="2" t="n">
        <f aca="false">$H$9 * A6*A6</f>
        <v>209810.537190083</v>
      </c>
      <c r="J6" s="3" t="b">
        <f aca="false">B6&lt;=E6</f>
        <v>1</v>
      </c>
    </row>
    <row r="7" customFormat="false" ht="15" hidden="false" customHeight="false" outlineLevel="0" collapsed="false">
      <c r="A7" s="1" t="n">
        <v>6000</v>
      </c>
      <c r="B7" s="0" t="n">
        <v>297741</v>
      </c>
      <c r="C7" s="2" t="n">
        <f aca="false">B7/(A7*A7)</f>
        <v>0.00827058333333333</v>
      </c>
      <c r="D7" s="2" t="n">
        <f aca="false">$H$7*A7*A7</f>
        <v>296966.102032254</v>
      </c>
      <c r="E7" s="2" t="n">
        <f aca="false">$H$9 * A7*A7</f>
        <v>302127.173553719</v>
      </c>
      <c r="G7" s="4" t="s">
        <v>5</v>
      </c>
      <c r="H7" s="2" t="n">
        <f aca="false">AVERAGE(C2:C13)</f>
        <v>0.00824905838978484</v>
      </c>
      <c r="J7" s="3" t="b">
        <f aca="false">B7&lt;=E7</f>
        <v>1</v>
      </c>
    </row>
    <row r="8" customFormat="false" ht="15" hidden="false" customHeight="false" outlineLevel="0" collapsed="false">
      <c r="A8" s="1" t="n">
        <v>7000</v>
      </c>
      <c r="B8" s="0" t="n">
        <v>407043</v>
      </c>
      <c r="C8" s="2" t="n">
        <f aca="false">B8/(A8*A8)</f>
        <v>0.008307</v>
      </c>
      <c r="D8" s="2" t="n">
        <f aca="false">$H$7*A8*A8</f>
        <v>404203.861099457</v>
      </c>
      <c r="E8" s="2" t="n">
        <f aca="false">$H$9 * A8*A8</f>
        <v>411228.652892562</v>
      </c>
      <c r="J8" s="3" t="b">
        <f aca="false">B8&lt;=E8</f>
        <v>1</v>
      </c>
    </row>
    <row r="9" customFormat="false" ht="15" hidden="false" customHeight="false" outlineLevel="0" collapsed="false">
      <c r="A9" s="1" t="n">
        <v>8000</v>
      </c>
      <c r="B9" s="0" t="n">
        <v>535867</v>
      </c>
      <c r="C9" s="2" t="n">
        <f aca="false">B9/(A9*A9)</f>
        <v>0.008372921875</v>
      </c>
      <c r="D9" s="2" t="n">
        <f aca="false">$H$7*A9*A9</f>
        <v>527939.73694623</v>
      </c>
      <c r="E9" s="2" t="n">
        <f aca="false">$H$9 * A9*A9</f>
        <v>537114.975206612</v>
      </c>
      <c r="G9" s="4" t="s">
        <v>6</v>
      </c>
      <c r="H9" s="2" t="n">
        <f aca="false">MAX(C2:C13)</f>
        <v>0.00839242148760331</v>
      </c>
      <c r="J9" s="3" t="b">
        <f aca="false">B9&lt;=E9</f>
        <v>1</v>
      </c>
    </row>
    <row r="10" customFormat="false" ht="15" hidden="false" customHeight="false" outlineLevel="0" collapsed="false">
      <c r="A10" s="1" t="n">
        <v>9000</v>
      </c>
      <c r="B10" s="0" t="n">
        <v>675606</v>
      </c>
      <c r="C10" s="2" t="n">
        <f aca="false">B10/(A10*A10)</f>
        <v>0.00834081481481482</v>
      </c>
      <c r="D10" s="2" t="n">
        <f aca="false">$H$7*A10*A10</f>
        <v>668173.729572572</v>
      </c>
      <c r="E10" s="2" t="n">
        <f aca="false">$H$9 * A10*A10</f>
        <v>679786.140495868</v>
      </c>
      <c r="J10" s="3" t="b">
        <f aca="false">B10&lt;=E10</f>
        <v>1</v>
      </c>
    </row>
    <row r="11" customFormat="false" ht="15" hidden="false" customHeight="false" outlineLevel="0" collapsed="false">
      <c r="A11" s="1" t="n">
        <v>10000</v>
      </c>
      <c r="B11" s="0" t="n">
        <v>837917</v>
      </c>
      <c r="C11" s="2" t="n">
        <f aca="false">B11/(A11*A11)</f>
        <v>0.00837917</v>
      </c>
      <c r="D11" s="2" t="n">
        <f aca="false">$H$7*A11*A11</f>
        <v>824905.838978484</v>
      </c>
      <c r="E11" s="2" t="n">
        <f aca="false">$H$9 * A11*A11</f>
        <v>839242.148760331</v>
      </c>
      <c r="J11" s="3" t="b">
        <f aca="false">B11&lt;=E11</f>
        <v>1</v>
      </c>
    </row>
    <row r="12" customFormat="false" ht="15" hidden="false" customHeight="false" outlineLevel="0" collapsed="false">
      <c r="A12" s="1" t="n">
        <v>11000</v>
      </c>
      <c r="B12" s="0" t="n">
        <v>1015483</v>
      </c>
      <c r="C12" s="2" t="n">
        <f aca="false">B12/(A12*A12)</f>
        <v>0.00839242148760331</v>
      </c>
      <c r="D12" s="2" t="n">
        <f aca="false">$H$7*A12*A12</f>
        <v>998136.065163966</v>
      </c>
      <c r="E12" s="2" t="n">
        <f aca="false">$H$9 * A12*A12</f>
        <v>1015483</v>
      </c>
      <c r="J12" s="3" t="b">
        <f aca="false">B12&lt;=E12</f>
        <v>1</v>
      </c>
    </row>
    <row r="13" customFormat="false" ht="15" hidden="false" customHeight="false" outlineLevel="0" collapsed="false">
      <c r="A13" s="1" t="n">
        <v>12000</v>
      </c>
      <c r="B13" s="0" t="n">
        <v>1206883</v>
      </c>
      <c r="C13" s="2" t="n">
        <f aca="false">B13/(A13*A13)</f>
        <v>0.00838113194444445</v>
      </c>
      <c r="D13" s="2" t="n">
        <f aca="false">$H$7*A13*A13</f>
        <v>1187864.40812902</v>
      </c>
      <c r="E13" s="2" t="n">
        <f aca="false">$H$9 * A13*A13</f>
        <v>1208508.69421488</v>
      </c>
      <c r="J13" s="3" t="b">
        <f aca="false">B13&lt;=E13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0.59765625" defaultRowHeight="15" zeroHeight="false" outlineLevelRow="0" outlineLevelCol="0"/>
  <sheetData>
    <row r="1" customFormat="false" ht="15" hidden="false" customHeight="false" outlineLevel="0" collapsed="false">
      <c r="A1" s="1" t="n">
        <v>13000</v>
      </c>
      <c r="B1" s="0" t="n">
        <v>1422936</v>
      </c>
      <c r="C1" s="2" t="n">
        <f aca="false">B1/(A1*A1)</f>
        <v>0.00841973964497042</v>
      </c>
      <c r="D1" s="2" t="n">
        <f aca="false">bubble!$H$7*A1*A1</f>
        <v>1394090.86787364</v>
      </c>
    </row>
    <row r="2" customFormat="false" ht="15" hidden="false" customHeight="false" outlineLevel="0" collapsed="false">
      <c r="A2" s="1" t="n">
        <v>14000</v>
      </c>
      <c r="B2" s="0" t="n">
        <v>1649290</v>
      </c>
      <c r="C2" s="2" t="n">
        <f aca="false">B2/(A2*A2)</f>
        <v>0.00841474489795918</v>
      </c>
      <c r="D2" s="2" t="n">
        <f aca="false">bubble!$H$7*A2*A2</f>
        <v>1616815.44439783</v>
      </c>
    </row>
    <row r="3" customFormat="false" ht="15" hidden="false" customHeight="false" outlineLevel="0" collapsed="false">
      <c r="A3" s="1" t="n">
        <v>15000</v>
      </c>
      <c r="B3" s="0" t="n">
        <v>1898018</v>
      </c>
      <c r="C3" s="2" t="n">
        <f aca="false">B3/(A3*A3)</f>
        <v>0.00843563555555556</v>
      </c>
      <c r="D3" s="2" t="n">
        <f aca="false">bubble!$H$7*A3*A3</f>
        <v>1856038.13770159</v>
      </c>
    </row>
    <row r="4" customFormat="false" ht="15" hidden="false" customHeight="false" outlineLevel="0" collapsed="false">
      <c r="A4" s="1" t="n">
        <v>20000</v>
      </c>
      <c r="B4" s="0" t="n">
        <v>3350084</v>
      </c>
      <c r="C4" s="2" t="n">
        <f aca="false">B4/(A4*A4)</f>
        <v>0.00837521</v>
      </c>
      <c r="D4" s="2" t="n">
        <f aca="false">bubble!$H$7*A4*A4</f>
        <v>3299623.35591394</v>
      </c>
    </row>
    <row r="5" customFormat="false" ht="15" hidden="false" customHeight="false" outlineLevel="0" collapsed="false">
      <c r="A5" s="1" t="n">
        <v>25000</v>
      </c>
      <c r="B5" s="0" t="n">
        <v>5242753</v>
      </c>
      <c r="C5" s="2" t="n">
        <f aca="false">B5/(A5*A5)</f>
        <v>0.0083884048</v>
      </c>
      <c r="D5" s="2" t="n">
        <f aca="false">bubble!$H$7*A5*A5</f>
        <v>5155661.49361553</v>
      </c>
    </row>
    <row r="6" customFormat="false" ht="15" hidden="false" customHeight="false" outlineLevel="0" collapsed="false">
      <c r="A6" s="1" t="n">
        <v>30000</v>
      </c>
      <c r="B6" s="0" t="n">
        <v>7532748</v>
      </c>
      <c r="C6" s="2" t="n">
        <f aca="false">B6/(A6*A6)</f>
        <v>0.00836972</v>
      </c>
      <c r="D6" s="2" t="n">
        <f aca="false">bubble!$H$7*A6*A6</f>
        <v>7424152.55080636</v>
      </c>
    </row>
    <row r="7" customFormat="false" ht="15" hidden="false" customHeight="false" outlineLevel="0" collapsed="false">
      <c r="A7" s="1" t="n">
        <v>35000</v>
      </c>
      <c r="B7" s="0" t="n">
        <v>10266937</v>
      </c>
      <c r="C7" s="2" t="n">
        <f aca="false">B7/(A7*A7)</f>
        <v>0.00838117306122449</v>
      </c>
      <c r="D7" s="2" t="n">
        <f aca="false">bubble!$H$7*A7*A7</f>
        <v>10105096.5274864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8.71"/>
    <col collapsed="false" customWidth="true" hidden="false" outlineLevel="0" max="2" min="2" style="0" width="20.43"/>
    <col collapsed="false" customWidth="true" hidden="false" outlineLevel="0" max="3" min="3" style="0" width="20"/>
    <col collapsed="false" customWidth="true" hidden="false" outlineLevel="0" max="4" min="4" style="0" width="22.86"/>
    <col collapsed="false" customWidth="true" hidden="false" outlineLevel="0" max="6" min="6" style="0" width="13.14"/>
    <col collapsed="false" customWidth="true" hidden="false" outlineLevel="0" max="7" min="7" style="0" width="13.86"/>
    <col collapsed="false" customWidth="true" hidden="false" outlineLevel="0" max="9" min="9" style="0" width="18.29"/>
    <col collapsed="false" customWidth="true" hidden="false" outlineLevel="0" max="10" min="10" style="0" width="20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7</v>
      </c>
    </row>
    <row r="2" customFormat="false" ht="15" hidden="false" customHeight="false" outlineLevel="0" collapsed="false">
      <c r="A2" s="1" t="n">
        <v>1000</v>
      </c>
      <c r="B2" s="0" t="n">
        <v>582</v>
      </c>
      <c r="C2" s="2" t="n">
        <f aca="false">B2/(A2*LOG(A2))</f>
        <v>0.194</v>
      </c>
      <c r="D2" s="2" t="n">
        <f aca="false">$G$7*A2*LOG(A2)</f>
        <v>494.382770653592</v>
      </c>
      <c r="I2" s="3" t="b">
        <f aca="false">B2&lt;D2</f>
        <v>0</v>
      </c>
    </row>
    <row r="3" customFormat="false" ht="15" hidden="false" customHeight="false" outlineLevel="0" collapsed="false">
      <c r="A3" s="1" t="n">
        <v>2000</v>
      </c>
      <c r="B3" s="0" t="n">
        <v>1186</v>
      </c>
      <c r="C3" s="2" t="n">
        <f aca="false">B3/(A3*LOG(A3))</f>
        <v>0.179640900197492</v>
      </c>
      <c r="D3" s="2" t="n">
        <f aca="false">$G$7*A3*LOG(A3)</f>
        <v>1087.98157017798</v>
      </c>
      <c r="I3" s="3" t="b">
        <f aca="false">B3&lt;D3</f>
        <v>0</v>
      </c>
    </row>
    <row r="4" customFormat="false" ht="15" hidden="false" customHeight="false" outlineLevel="0" collapsed="false">
      <c r="A4" s="1" t="n">
        <v>3000</v>
      </c>
      <c r="B4" s="0" t="n">
        <v>1830</v>
      </c>
      <c r="C4" s="2" t="n">
        <f aca="false">B4/(A4*LOG(A4))</f>
        <v>0.175432478568879</v>
      </c>
      <c r="D4" s="2" t="n">
        <f aca="false">$G$7*A4*LOG(A4)</f>
        <v>1719.0288398068</v>
      </c>
      <c r="I4" s="3" t="b">
        <f aca="false">B4&lt;D4</f>
        <v>0</v>
      </c>
    </row>
    <row r="5" customFormat="false" ht="15" hidden="false" customHeight="false" outlineLevel="0" collapsed="false">
      <c r="A5" s="1" t="n">
        <v>4000</v>
      </c>
      <c r="B5" s="0" t="n">
        <v>2508</v>
      </c>
      <c r="C5" s="2" t="n">
        <f aca="false">B5/(A5*LOG(A5))</f>
        <v>0.174067062044918</v>
      </c>
      <c r="D5" s="2" t="n">
        <f aca="false">$G$7*A5*LOG(A5)</f>
        <v>2374.39519809756</v>
      </c>
      <c r="I5" s="3" t="b">
        <f aca="false">B5&lt;D5</f>
        <v>0</v>
      </c>
    </row>
    <row r="6" customFormat="false" ht="15" hidden="false" customHeight="false" outlineLevel="0" collapsed="false">
      <c r="A6" s="1" t="n">
        <v>5000</v>
      </c>
      <c r="B6" s="0" t="n">
        <v>3152</v>
      </c>
      <c r="C6" s="2" t="n">
        <f aca="false">B6/(A6*LOG(A6))</f>
        <v>0.170425821042352</v>
      </c>
      <c r="D6" s="2" t="n">
        <f aca="false">$G$7*A6*LOG(A6)</f>
        <v>3047.84506551362</v>
      </c>
      <c r="I6" s="3" t="b">
        <f aca="false">B6&lt;D6</f>
        <v>0</v>
      </c>
    </row>
    <row r="7" customFormat="false" ht="15" hidden="false" customHeight="false" outlineLevel="0" collapsed="false">
      <c r="A7" s="1" t="n">
        <v>6000</v>
      </c>
      <c r="B7" s="0" t="n">
        <v>3807</v>
      </c>
      <c r="C7" s="2" t="n">
        <f aca="false">B7/(A7*LOG(A7))</f>
        <v>0.167939279809291</v>
      </c>
      <c r="D7" s="2" t="n">
        <f aca="false">$G$7*A7*LOG(A7)</f>
        <v>3735.70576622599</v>
      </c>
      <c r="F7" s="4" t="s">
        <v>5</v>
      </c>
      <c r="G7" s="2" t="n">
        <f aca="false">AVERAGE(C2:C20)</f>
        <v>0.164794256884531</v>
      </c>
      <c r="I7" s="3" t="b">
        <f aca="false">B7&lt;D7</f>
        <v>0</v>
      </c>
    </row>
    <row r="8" customFormat="false" ht="15" hidden="false" customHeight="false" outlineLevel="0" collapsed="false">
      <c r="A8" s="1" t="n">
        <v>7000</v>
      </c>
      <c r="B8" s="0" t="n">
        <v>4512</v>
      </c>
      <c r="C8" s="2" t="n">
        <f aca="false">B8/(A8*LOG(A8))</f>
        <v>0.167634588731849</v>
      </c>
      <c r="D8" s="2" t="n">
        <f aca="false">$G$7*A8*LOG(A8)</f>
        <v>4435.5505190662</v>
      </c>
      <c r="I8" s="3" t="b">
        <f aca="false">B8&lt;D8</f>
        <v>0</v>
      </c>
    </row>
    <row r="9" customFormat="false" ht="15" hidden="false" customHeight="false" outlineLevel="0" collapsed="false">
      <c r="A9" s="1" t="n">
        <v>8000</v>
      </c>
      <c r="B9" s="0" t="n">
        <v>5112</v>
      </c>
      <c r="C9" s="2" t="n">
        <f aca="false">B9/(A9*LOG(A9))</f>
        <v>0.163716440596971</v>
      </c>
      <c r="D9" s="2" t="n">
        <f aca="false">$G$7*A9*LOG(A9)</f>
        <v>5145.65451167832</v>
      </c>
      <c r="I9" s="3" t="b">
        <f aca="false">B9&lt;D9</f>
        <v>1</v>
      </c>
    </row>
    <row r="10" customFormat="false" ht="15" hidden="false" customHeight="false" outlineLevel="0" collapsed="false">
      <c r="A10" s="1" t="n">
        <v>9000</v>
      </c>
      <c r="B10" s="0" t="n">
        <v>5758</v>
      </c>
      <c r="C10" s="2" t="n">
        <f aca="false">B10/(A10*LOG(A10))</f>
        <v>0.161795280954706</v>
      </c>
      <c r="D10" s="2" t="n">
        <f aca="false">$G$7*A10*LOG(A10)</f>
        <v>5864.72810295847</v>
      </c>
      <c r="I10" s="3" t="b">
        <f aca="false">B10&lt;D10</f>
        <v>1</v>
      </c>
    </row>
    <row r="11" customFormat="false" ht="15" hidden="false" customHeight="false" outlineLevel="0" collapsed="false">
      <c r="A11" s="1" t="n">
        <v>10000</v>
      </c>
      <c r="B11" s="0" t="n">
        <v>6433</v>
      </c>
      <c r="C11" s="2" t="n">
        <f aca="false">B11/(A11*LOG(A11))</f>
        <v>0.160825</v>
      </c>
      <c r="D11" s="2" t="n">
        <f aca="false">$G$7*A11*LOG(A11)</f>
        <v>6591.77027538122</v>
      </c>
      <c r="I11" s="3" t="b">
        <f aca="false">B11&lt;D11</f>
        <v>1</v>
      </c>
    </row>
    <row r="12" customFormat="false" ht="15" hidden="false" customHeight="false" outlineLevel="0" collapsed="false">
      <c r="A12" s="1" t="n">
        <v>11000</v>
      </c>
      <c r="B12" s="0" t="n">
        <v>7378</v>
      </c>
      <c r="C12" s="2" t="n">
        <f aca="false">B12/(A12*LOG(A12))</f>
        <v>0.165964390243611</v>
      </c>
      <c r="D12" s="2" t="n">
        <f aca="false">$G$7*A12*LOG(A12)</f>
        <v>7325.9813476215</v>
      </c>
      <c r="I12" s="3" t="b">
        <f aca="false">B12&lt;D12</f>
        <v>0</v>
      </c>
    </row>
    <row r="13" customFormat="false" ht="15" hidden="false" customHeight="false" outlineLevel="0" collapsed="false">
      <c r="A13" s="1" t="n">
        <v>12000</v>
      </c>
      <c r="B13" s="0" t="n">
        <v>7822</v>
      </c>
      <c r="C13" s="2" t="n">
        <f aca="false">B13/(A13*LOG(A13))</f>
        <v>0.159795138783035</v>
      </c>
      <c r="D13" s="2" t="n">
        <f aca="false">$G$7*A13*LOG(A13)</f>
        <v>8066.70770567678</v>
      </c>
      <c r="I13" s="3" t="b">
        <f aca="false">B13&lt;D13</f>
        <v>1</v>
      </c>
    </row>
    <row r="14" customFormat="false" ht="15" hidden="false" customHeight="false" outlineLevel="0" collapsed="false">
      <c r="A14" s="1" t="n">
        <v>13000</v>
      </c>
      <c r="B14" s="0" t="n">
        <v>8500</v>
      </c>
      <c r="C14" s="2" t="n">
        <f aca="false">B14/(A14*LOG(A14))</f>
        <v>0.158934165556635</v>
      </c>
      <c r="D14" s="2" t="n">
        <f aca="false">$G$7*A14*LOG(A14)</f>
        <v>8813.40508890997</v>
      </c>
      <c r="I14" s="3" t="b">
        <f aca="false">B14&lt;D14</f>
        <v>1</v>
      </c>
    </row>
    <row r="15" customFormat="false" ht="15" hidden="false" customHeight="false" outlineLevel="0" collapsed="false">
      <c r="A15" s="1" t="n">
        <v>14000</v>
      </c>
      <c r="B15" s="0" t="n">
        <v>9215</v>
      </c>
      <c r="C15" s="2" t="n">
        <f aca="false">B15/(A15*LOG(A15))</f>
        <v>0.158753969981203</v>
      </c>
      <c r="D15" s="2" t="n">
        <f aca="false">$G$7*A15*LOG(A15)</f>
        <v>9565.61324022799</v>
      </c>
      <c r="I15" s="3" t="b">
        <f aca="false">B15&lt;D15</f>
        <v>1</v>
      </c>
    </row>
    <row r="16" customFormat="false" ht="15" hidden="false" customHeight="false" outlineLevel="0" collapsed="false">
      <c r="A16" s="1" t="n">
        <v>15000</v>
      </c>
      <c r="B16" s="0" t="n">
        <v>10029</v>
      </c>
      <c r="C16" s="2" t="n">
        <f aca="false">B16/(A16*LOG(A16))</f>
        <v>0.160101865243047</v>
      </c>
      <c r="D16" s="2" t="n">
        <f aca="false">$G$7*A16*LOG(A16)</f>
        <v>10322.937835771</v>
      </c>
      <c r="I16" s="3" t="b">
        <f aca="false">B16&lt;D16</f>
        <v>1</v>
      </c>
    </row>
    <row r="17" customFormat="false" ht="15" hidden="false" customHeight="false" outlineLevel="0" collapsed="false">
      <c r="A17" s="1" t="n">
        <v>20000</v>
      </c>
      <c r="B17" s="0" t="n">
        <v>13713</v>
      </c>
      <c r="C17" s="2" t="n">
        <f aca="false">B17/(A17*LOG(A17))</f>
        <v>0.159415303006775</v>
      </c>
      <c r="D17" s="2" t="n">
        <f aca="false">$G$7*A17*LOG(A17)</f>
        <v>14175.7008394704</v>
      </c>
      <c r="I17" s="3" t="b">
        <f aca="false">B17&lt;D17</f>
        <v>1</v>
      </c>
    </row>
    <row r="18" customFormat="false" ht="15" hidden="false" customHeight="false" outlineLevel="0" collapsed="false">
      <c r="A18" s="1" t="n">
        <v>25000</v>
      </c>
      <c r="B18" s="0" t="n">
        <v>16864</v>
      </c>
      <c r="C18" s="2" t="n">
        <f aca="false">B18/(A18*LOG(A18))</f>
        <v>0.15338090075578</v>
      </c>
      <c r="D18" s="2" t="n">
        <f aca="false">$G$7*A18*LOG(A18)</f>
        <v>18118.8813887964</v>
      </c>
      <c r="I18" s="3" t="b">
        <f aca="false">B18&lt;D18</f>
        <v>1</v>
      </c>
    </row>
    <row r="19" customFormat="false" ht="15" hidden="false" customHeight="false" outlineLevel="0" collapsed="false">
      <c r="A19" s="1" t="n">
        <v>30000</v>
      </c>
      <c r="B19" s="0" t="n">
        <v>20283</v>
      </c>
      <c r="C19" s="2" t="n">
        <f aca="false">B19/(A19*LOG(A19))</f>
        <v>0.151012215558664</v>
      </c>
      <c r="D19" s="2" t="n">
        <f aca="false">$G$7*A19*LOG(A19)</f>
        <v>22134.1161046039</v>
      </c>
      <c r="I19" s="3" t="b">
        <f aca="false">B19&lt;D19</f>
        <v>1</v>
      </c>
    </row>
    <row r="20" customFormat="false" ht="15" hidden="false" customHeight="false" outlineLevel="0" collapsed="false">
      <c r="A20" s="1" t="n">
        <v>35000</v>
      </c>
      <c r="B20" s="0" t="n">
        <v>23579</v>
      </c>
      <c r="C20" s="2" t="n">
        <f aca="false">B20/(A20*LOG(A20))</f>
        <v>0.148256079730875</v>
      </c>
      <c r="D20" s="2" t="n">
        <f aca="false">$G$7*A20*LOG(A20)</f>
        <v>26209.2710810506</v>
      </c>
      <c r="I20" s="3" t="b">
        <f aca="false">B20&lt;D20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8.71"/>
    <col collapsed="false" customWidth="true" hidden="false" outlineLevel="0" max="3" min="3" style="0" width="25.43"/>
    <col collapsed="false" customWidth="true" hidden="false" outlineLevel="0" max="4" min="4" style="0" width="25.14"/>
    <col collapsed="false" customWidth="true" hidden="false" outlineLevel="0" max="6" min="6" style="0" width="14.86"/>
    <col collapsed="false" customWidth="true" hidden="false" outlineLevel="0" max="7" min="7" style="0" width="17.03"/>
    <col collapsed="false" customWidth="true" hidden="false" outlineLevel="0" max="9" min="9" style="0" width="11.86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7</v>
      </c>
    </row>
    <row r="2" customFormat="false" ht="15" hidden="false" customHeight="false" outlineLevel="0" collapsed="false">
      <c r="A2" s="0" t="n">
        <v>10000</v>
      </c>
      <c r="B2" s="0" t="n">
        <v>5654</v>
      </c>
      <c r="C2" s="0" t="n">
        <f aca="false">B2/(A2*LOG(A2))</f>
        <v>0.14135</v>
      </c>
      <c r="D2" s="0" t="n">
        <f aca="false">$G$7*A2*LOG(A2)</f>
        <v>53618.1327610277</v>
      </c>
      <c r="I2" s="3" t="b">
        <f aca="false">B2&lt;D2</f>
        <v>1</v>
      </c>
    </row>
    <row r="3" customFormat="false" ht="15" hidden="false" customHeight="false" outlineLevel="0" collapsed="false">
      <c r="A3" s="0" t="n">
        <v>15000</v>
      </c>
      <c r="B3" s="0" t="n">
        <v>7569</v>
      </c>
      <c r="C3" s="0" t="n">
        <f aca="false">B3/(A3*LOG(A3))</f>
        <v>0.120830692793362</v>
      </c>
      <c r="D3" s="0" t="n">
        <f aca="false">$G$7*A3*LOG(A3)</f>
        <v>83967.8308313306</v>
      </c>
      <c r="I3" s="3" t="b">
        <f aca="false">B3&lt;D3</f>
        <v>1</v>
      </c>
    </row>
    <row r="4" customFormat="false" ht="15" hidden="false" customHeight="false" outlineLevel="0" collapsed="false">
      <c r="A4" s="0" t="n">
        <v>20000</v>
      </c>
      <c r="B4" s="0" t="n">
        <v>11077</v>
      </c>
      <c r="C4" s="0" t="n">
        <f aca="false">B4/(A4*LOG(A4))</f>
        <v>0.128771480449649</v>
      </c>
      <c r="D4" s="0" t="n">
        <f aca="false">$G$7*A4*LOG(A4)</f>
        <v>115306.598658337</v>
      </c>
      <c r="I4" s="3" t="b">
        <f aca="false">B4&lt;D4</f>
        <v>1</v>
      </c>
    </row>
    <row r="5" customFormat="false" ht="15" hidden="false" customHeight="false" outlineLevel="0" collapsed="false">
      <c r="A5" s="0" t="n">
        <v>25000</v>
      </c>
      <c r="B5" s="0" t="n">
        <v>13015</v>
      </c>
      <c r="C5" s="0" t="n">
        <f aca="false">B5/(A5*LOG(A5))</f>
        <v>0.118373601953064</v>
      </c>
      <c r="D5" s="0" t="n">
        <f aca="false">$G$7*A5*LOG(A5)</f>
        <v>147380.832037508</v>
      </c>
      <c r="I5" s="3" t="b">
        <f aca="false">B5&lt;D5</f>
        <v>1</v>
      </c>
    </row>
    <row r="6" customFormat="false" ht="15" hidden="false" customHeight="false" outlineLevel="0" collapsed="false">
      <c r="A6" s="0" t="n">
        <v>30000</v>
      </c>
      <c r="B6" s="0" t="n">
        <v>18433</v>
      </c>
      <c r="C6" s="0" t="n">
        <f aca="false">B6/(A6*LOG(A6))</f>
        <v>0.137238483922144</v>
      </c>
      <c r="D6" s="0" t="n">
        <f aca="false">$G$7*A6*LOG(A6)</f>
        <v>180041.161367083</v>
      </c>
      <c r="I6" s="3" t="b">
        <f aca="false">B6&lt;D6</f>
        <v>1</v>
      </c>
    </row>
    <row r="7" customFormat="false" ht="15" hidden="false" customHeight="false" outlineLevel="0" collapsed="false">
      <c r="A7" s="0" t="n">
        <v>35000</v>
      </c>
      <c r="B7" s="0" t="n">
        <v>22735</v>
      </c>
      <c r="C7" s="0" t="n">
        <f aca="false">B7/(A7*LOG(A7))</f>
        <v>0.142949318150958</v>
      </c>
      <c r="D7" s="0" t="n">
        <f aca="false">$G$7*A7*LOG(A7)</f>
        <v>213188.888217477</v>
      </c>
      <c r="F7" s="4" t="s">
        <v>5</v>
      </c>
      <c r="G7" s="5" t="n">
        <f aca="false">AVERAGE(C2:C58)</f>
        <v>1.34045331902569</v>
      </c>
      <c r="I7" s="3" t="b">
        <f aca="false">B7&lt;D7</f>
        <v>1</v>
      </c>
    </row>
    <row r="8" customFormat="false" ht="15" hidden="false" customHeight="false" outlineLevel="0" collapsed="false">
      <c r="A8" s="0" t="n">
        <v>40000</v>
      </c>
      <c r="B8" s="0" t="n">
        <v>27779</v>
      </c>
      <c r="C8" s="0" t="n">
        <f aca="false">B8/(A8*LOG(A8))</f>
        <v>0.150905247065153</v>
      </c>
      <c r="D8" s="0" t="n">
        <f aca="false">$G$7*A8*LOG(A8)</f>
        <v>246753.863589237</v>
      </c>
      <c r="I8" s="3" t="b">
        <f aca="false">B8&lt;D8</f>
        <v>1</v>
      </c>
    </row>
    <row r="9" customFormat="false" ht="15" hidden="false" customHeight="false" outlineLevel="0" collapsed="false">
      <c r="A9" s="0" t="n">
        <v>45000</v>
      </c>
      <c r="B9" s="0" t="n">
        <v>35890</v>
      </c>
      <c r="C9" s="0" t="n">
        <f aca="false">B9/(A9*LOG(A9))</f>
        <v>0.171398910579407</v>
      </c>
      <c r="D9" s="0" t="n">
        <f aca="false">$G$7*A9*LOG(A9)</f>
        <v>280683.637119992</v>
      </c>
      <c r="I9" s="3" t="b">
        <f aca="false">B9&lt;D9</f>
        <v>1</v>
      </c>
    </row>
    <row r="10" customFormat="false" ht="15" hidden="false" customHeight="false" outlineLevel="0" collapsed="false">
      <c r="A10" s="0" t="n">
        <v>50000</v>
      </c>
      <c r="B10" s="0" t="n">
        <v>35476</v>
      </c>
      <c r="C10" s="0" t="n">
        <f aca="false">B10/(A10*LOG(A10))</f>
        <v>0.150994792336466</v>
      </c>
      <c r="D10" s="0" t="n">
        <f aca="false">$G$7*A10*LOG(A10)</f>
        <v>314937.49691572</v>
      </c>
      <c r="I10" s="3" t="b">
        <f aca="false">B10&lt;D10</f>
        <v>1</v>
      </c>
    </row>
    <row r="11" customFormat="false" ht="15" hidden="false" customHeight="false" outlineLevel="0" collapsed="false">
      <c r="A11" s="0" t="n">
        <v>55000</v>
      </c>
      <c r="B11" s="0" t="n">
        <v>40884</v>
      </c>
      <c r="C11" s="0" t="n">
        <f aca="false">B11/(A11*LOG(A11))</f>
        <v>0.156811936815063</v>
      </c>
      <c r="D11" s="0" t="n">
        <f aca="false">$G$7*A11*LOG(A11)</f>
        <v>349482.919528496</v>
      </c>
      <c r="I11" s="3" t="b">
        <f aca="false">B11&lt;D11</f>
        <v>1</v>
      </c>
    </row>
    <row r="12" customFormat="false" ht="15" hidden="false" customHeight="false" outlineLevel="0" collapsed="false">
      <c r="A12" s="0" t="n">
        <v>60000</v>
      </c>
      <c r="B12" s="0" t="n">
        <v>48118</v>
      </c>
      <c r="C12" s="0" t="n">
        <f aca="false">B12/(A12*LOG(A12))</f>
        <v>0.167840368511205</v>
      </c>
      <c r="D12" s="0" t="n">
        <f aca="false">$G$7*A12*LOG(A12)</f>
        <v>384293.322143011</v>
      </c>
      <c r="I12" s="3" t="b">
        <f aca="false">B12&lt;D12</f>
        <v>1</v>
      </c>
    </row>
    <row r="13" customFormat="false" ht="15" hidden="false" customHeight="false" outlineLevel="0" collapsed="false">
      <c r="A13" s="0" t="n">
        <v>65000</v>
      </c>
      <c r="B13" s="0" t="n">
        <v>54127</v>
      </c>
      <c r="C13" s="0" t="n">
        <f aca="false">B13/(A13*LOG(A13))</f>
        <v>0.173018505677801</v>
      </c>
      <c r="D13" s="0" t="n">
        <f aca="false">$G$7*A13*LOG(A13)</f>
        <v>419346.569401175</v>
      </c>
      <c r="I13" s="3" t="b">
        <f aca="false">B13&lt;D13</f>
        <v>1</v>
      </c>
    </row>
    <row r="14" customFormat="false" ht="15" hidden="false" customHeight="false" outlineLevel="0" collapsed="false">
      <c r="A14" s="0" t="n">
        <v>70000</v>
      </c>
      <c r="B14" s="0" t="n">
        <v>60176</v>
      </c>
      <c r="C14" s="0" t="n">
        <f aca="false">B14/(A14*LOG(A14))</f>
        <v>0.177428224518366</v>
      </c>
      <c r="D14" s="0" t="n">
        <f aca="false">$G$7*A14*LOG(A14)</f>
        <v>454623.942411939</v>
      </c>
      <c r="I14" s="3" t="b">
        <f aca="false">B14&lt;D14</f>
        <v>1</v>
      </c>
    </row>
    <row r="15" customFormat="false" ht="15" hidden="false" customHeight="false" outlineLevel="0" collapsed="false">
      <c r="A15" s="0" t="n">
        <v>75000</v>
      </c>
      <c r="B15" s="0" t="n">
        <v>68718</v>
      </c>
      <c r="C15" s="0" t="n">
        <f aca="false">B15/(A15*LOG(A15))</f>
        <v>0.187944304798859</v>
      </c>
      <c r="D15" s="0" t="n">
        <f aca="false">$G$7*A15*LOG(A15)</f>
        <v>490109.403822524</v>
      </c>
      <c r="I15" s="3" t="b">
        <f aca="false">B15&lt;D15</f>
        <v>1</v>
      </c>
    </row>
    <row r="16" customFormat="false" ht="15" hidden="false" customHeight="false" outlineLevel="0" collapsed="false">
      <c r="A16" s="0" t="n">
        <v>80000</v>
      </c>
      <c r="B16" s="0" t="n">
        <v>75569</v>
      </c>
      <c r="C16" s="0" t="n">
        <f aca="false">B16/(A16*LOG(A16))</f>
        <v>0.192656570143744</v>
      </c>
      <c r="D16" s="0" t="n">
        <f aca="false">$G$7*A16*LOG(A16)</f>
        <v>525789.059723599</v>
      </c>
      <c r="I16" s="3" t="b">
        <f aca="false">B16&lt;D16</f>
        <v>1</v>
      </c>
    </row>
    <row r="17" customFormat="false" ht="15" hidden="false" customHeight="false" outlineLevel="0" collapsed="false">
      <c r="A17" s="0" t="n">
        <v>85000</v>
      </c>
      <c r="B17" s="0" t="n">
        <v>84942</v>
      </c>
      <c r="C17" s="0" t="n">
        <f aca="false">B17/(A17*LOG(A17))</f>
        <v>0.202725242491744</v>
      </c>
      <c r="D17" s="0" t="n">
        <f aca="false">$G$7*A17*LOG(A17)</f>
        <v>561650.756586552</v>
      </c>
      <c r="I17" s="3" t="b">
        <f aca="false">B17&lt;D17</f>
        <v>1</v>
      </c>
    </row>
    <row r="18" customFormat="false" ht="15" hidden="false" customHeight="false" outlineLevel="0" collapsed="false">
      <c r="A18" s="0" t="n">
        <v>90000</v>
      </c>
      <c r="B18" s="0" t="n">
        <v>93060</v>
      </c>
      <c r="C18" s="0" t="n">
        <f aca="false">B18/(A18*LOG(A18))</f>
        <v>0.208710009255687</v>
      </c>
      <c r="D18" s="0" t="n">
        <f aca="false">$G$7*A18*LOG(A18)</f>
        <v>597683.773353251</v>
      </c>
      <c r="I18" s="3" t="b">
        <f aca="false">B18&lt;D18</f>
        <v>1</v>
      </c>
    </row>
    <row r="19" customFormat="false" ht="15" hidden="false" customHeight="false" outlineLevel="0" collapsed="false">
      <c r="A19" s="0" t="n">
        <v>95000</v>
      </c>
      <c r="B19" s="0" t="n">
        <v>112064</v>
      </c>
      <c r="C19" s="0" t="n">
        <f aca="false">B19/(A19*LOG(A19))</f>
        <v>0.236980022630872</v>
      </c>
      <c r="D19" s="0" t="n">
        <f aca="false">$G$7*A19*LOG(A19)</f>
        <v>633878.582150688</v>
      </c>
      <c r="I19" s="3" t="b">
        <f aca="false">B19&lt;D19</f>
        <v>1</v>
      </c>
    </row>
    <row r="20" customFormat="false" ht="15" hidden="false" customHeight="false" outlineLevel="0" collapsed="false">
      <c r="A20" s="0" t="n">
        <v>100000</v>
      </c>
      <c r="B20" s="0" t="n">
        <v>112839</v>
      </c>
      <c r="C20" s="0" t="n">
        <f aca="false">B20/(A20*LOG(A20))</f>
        <v>0.225678</v>
      </c>
      <c r="D20" s="0" t="n">
        <f aca="false">$G$7*A20*LOG(A20)</f>
        <v>670226.659512846</v>
      </c>
      <c r="I20" s="3" t="b">
        <f aca="false">B20&lt;D20</f>
        <v>1</v>
      </c>
    </row>
    <row r="21" customFormat="false" ht="15" hidden="false" customHeight="false" outlineLevel="0" collapsed="false">
      <c r="A21" s="0" t="n">
        <v>150000</v>
      </c>
      <c r="B21" s="0" t="n">
        <v>234047</v>
      </c>
      <c r="C21" s="0" t="n">
        <f aca="false">B21/(A21*LOG(A21))</f>
        <v>0.301446256497803</v>
      </c>
      <c r="D21" s="0" t="n">
        <f aca="false">$G$7*A21*LOG(A21)</f>
        <v>1040746.30616716</v>
      </c>
      <c r="I21" s="3" t="n">
        <f aca="false">B21&lt;D21</f>
        <v>1</v>
      </c>
    </row>
    <row r="22" customFormat="false" ht="15" hidden="false" customHeight="false" outlineLevel="0" collapsed="false">
      <c r="A22" s="0" t="n">
        <v>200000</v>
      </c>
      <c r="B22" s="0" t="n">
        <v>390984</v>
      </c>
      <c r="C22" s="0" t="n">
        <f aca="false">B22/(A22*LOG(A22))</f>
        <v>0.368781161698584</v>
      </c>
      <c r="D22" s="0" t="n">
        <f aca="false">$G$7*A22*LOG(A22)</f>
        <v>1421156.65038851</v>
      </c>
      <c r="I22" s="3" t="n">
        <f aca="false">B22&lt;D22</f>
        <v>1</v>
      </c>
    </row>
    <row r="23" customFormat="false" ht="15" hidden="false" customHeight="false" outlineLevel="0" collapsed="false">
      <c r="A23" s="0" t="n">
        <v>250000</v>
      </c>
      <c r="B23" s="0" t="n">
        <v>625694</v>
      </c>
      <c r="C23" s="0" t="n">
        <f aca="false">B23/(A23*LOG(A23))</f>
        <v>0.46365391167356</v>
      </c>
      <c r="D23" s="0" t="n">
        <f aca="false">$G$7*A23*LOG(A23)</f>
        <v>1808921.6501315</v>
      </c>
      <c r="I23" s="3" t="n">
        <f aca="false">B23&lt;D23</f>
        <v>1</v>
      </c>
    </row>
    <row r="24" customFormat="false" ht="15" hidden="false" customHeight="false" outlineLevel="0" collapsed="false">
      <c r="A24" s="0" t="n">
        <v>300000</v>
      </c>
      <c r="B24" s="0" t="n">
        <v>856088</v>
      </c>
      <c r="C24" s="0" t="n">
        <f aca="false">B24/(A24*LOG(A24))</f>
        <v>0.521008488575579</v>
      </c>
      <c r="D24" s="0" t="n">
        <f aca="false">$G$7*A24*LOG(A24)</f>
        <v>2202547.60937854</v>
      </c>
      <c r="I24" s="3" t="n">
        <f aca="false">B24&lt;D24</f>
        <v>1</v>
      </c>
    </row>
    <row r="25" customFormat="false" ht="15" hidden="false" customHeight="false" outlineLevel="0" collapsed="false">
      <c r="A25" s="0" t="n">
        <v>350000</v>
      </c>
      <c r="B25" s="0" t="n">
        <v>1146934</v>
      </c>
      <c r="C25" s="0" t="n">
        <f aca="false">B25/(A25*LOG(A25))</f>
        <v>0.591073965813549</v>
      </c>
      <c r="D25" s="0" t="n">
        <f aca="false">$G$7*A25*LOG(A25)</f>
        <v>2601047.54383376</v>
      </c>
      <c r="I25" s="3" t="n">
        <f aca="false">B25&lt;D25</f>
        <v>1</v>
      </c>
    </row>
    <row r="26" customFormat="false" ht="15" hidden="false" customHeight="false" outlineLevel="0" collapsed="false">
      <c r="A26" s="0" t="n">
        <v>400000</v>
      </c>
      <c r="B26" s="0" t="n">
        <v>1496528</v>
      </c>
      <c r="C26" s="0" t="n">
        <f aca="false">B26/(A26*LOG(A26))</f>
        <v>0.66784718581943</v>
      </c>
      <c r="D26" s="0" t="n">
        <f aca="false">$G$7*A26*LOG(A26)</f>
        <v>3003719.96350264</v>
      </c>
      <c r="I26" s="3" t="n">
        <f aca="false">B26&lt;D26</f>
        <v>1</v>
      </c>
    </row>
    <row r="27" customFormat="false" ht="15" hidden="false" customHeight="false" outlineLevel="0" collapsed="false">
      <c r="A27" s="0" t="n">
        <v>450000</v>
      </c>
      <c r="B27" s="0" t="n">
        <v>1864943</v>
      </c>
      <c r="C27" s="0" t="n">
        <f aca="false">B27/(A27*LOG(A27))</f>
        <v>0.733090745780245</v>
      </c>
      <c r="D27" s="0" t="n">
        <f aca="false">$G$7*A27*LOG(A27)</f>
        <v>3410040.36476148</v>
      </c>
      <c r="I27" s="3" t="n">
        <f aca="false">B27&lt;D27</f>
        <v>1</v>
      </c>
    </row>
    <row r="28" customFormat="false" ht="15" hidden="false" customHeight="false" outlineLevel="0" collapsed="false">
      <c r="A28" s="0" t="n">
        <v>500000</v>
      </c>
      <c r="B28" s="0" t="n">
        <v>2295128</v>
      </c>
      <c r="C28" s="0" t="n">
        <f aca="false">B28/(A28*LOG(A28))</f>
        <v>0.805453616444294</v>
      </c>
      <c r="D28" s="0" t="n">
        <f aca="false">$G$7*A28*LOG(A28)</f>
        <v>3819601.62867004</v>
      </c>
      <c r="I28" s="3" t="n">
        <f aca="false">B28&lt;D28</f>
        <v>1</v>
      </c>
    </row>
    <row r="29" customFormat="false" ht="15" hidden="false" customHeight="false" outlineLevel="0" collapsed="false">
      <c r="A29" s="0" t="n">
        <v>550000</v>
      </c>
      <c r="B29" s="0" t="n">
        <v>2760960</v>
      </c>
      <c r="C29" s="0" t="n">
        <f aca="false">B29/(A29*LOG(A29))</f>
        <v>0.874496533453282</v>
      </c>
      <c r="D29" s="0" t="n">
        <f aca="false">$G$7*A29*LOG(A29)</f>
        <v>4232078.5207491</v>
      </c>
      <c r="I29" s="3" t="n">
        <f aca="false">B29&lt;D29</f>
        <v>1</v>
      </c>
    </row>
    <row r="30" customFormat="false" ht="15" hidden="false" customHeight="false" outlineLevel="0" collapsed="false">
      <c r="A30" s="0" t="n">
        <v>600000</v>
      </c>
      <c r="B30" s="0" t="n">
        <v>3618826</v>
      </c>
      <c r="C30" s="0" t="n">
        <f aca="false">B30/(A30*LOG(A30))</f>
        <v>1.04382464309258</v>
      </c>
      <c r="D30" s="0" t="n">
        <f aca="false">$G$7*A30*LOG(A30)</f>
        <v>4647205.21284553</v>
      </c>
      <c r="I30" s="3" t="n">
        <f aca="false">B30&lt;D30</f>
        <v>1</v>
      </c>
    </row>
    <row r="31" customFormat="false" ht="15" hidden="false" customHeight="false" outlineLevel="0" collapsed="false">
      <c r="A31" s="0" t="n">
        <v>650000</v>
      </c>
      <c r="B31" s="0" t="n">
        <v>3860238</v>
      </c>
      <c r="C31" s="0" t="n">
        <f aca="false">B31/(A31*LOG(A31))</f>
        <v>1.02166114097003</v>
      </c>
      <c r="D31" s="0" t="n">
        <f aca="false">$G$7*A31*LOG(A31)</f>
        <v>5064760.35137845</v>
      </c>
      <c r="I31" s="3" t="n">
        <f aca="false">B31&lt;D31</f>
        <v>1</v>
      </c>
    </row>
    <row r="32" customFormat="false" ht="15" hidden="false" customHeight="false" outlineLevel="0" collapsed="false">
      <c r="A32" s="0" t="n">
        <v>700000</v>
      </c>
      <c r="B32" s="0" t="n">
        <v>4335119</v>
      </c>
      <c r="C32" s="0" t="n">
        <f aca="false">B32/(A32*LOG(A32))</f>
        <v>1.05952493875399</v>
      </c>
      <c r="D32" s="0" t="n">
        <f aca="false">$G$7*A32*LOG(A32)</f>
        <v>5484556.74743738</v>
      </c>
      <c r="I32" s="3" t="n">
        <f aca="false">B32&lt;D32</f>
        <v>1</v>
      </c>
    </row>
    <row r="33" customFormat="false" ht="15" hidden="false" customHeight="false" outlineLevel="0" collapsed="false">
      <c r="A33" s="0" t="n">
        <v>750000</v>
      </c>
      <c r="B33" s="0" t="n">
        <v>5024988</v>
      </c>
      <c r="C33" s="0" t="n">
        <f aca="false">B33/(A33*LOG(A33))</f>
        <v>1.14041091652074</v>
      </c>
      <c r="D33" s="0" t="n">
        <f aca="false">$G$7*A33*LOG(A33)</f>
        <v>5906434.02749451</v>
      </c>
      <c r="I33" s="3" t="n">
        <f aca="false">B33&lt;D33</f>
        <v>1</v>
      </c>
    </row>
    <row r="34" customFormat="false" ht="15" hidden="false" customHeight="false" outlineLevel="0" collapsed="false">
      <c r="A34" s="0" t="n">
        <v>800000</v>
      </c>
      <c r="B34" s="0" t="n">
        <v>5741561</v>
      </c>
      <c r="C34" s="0" t="n">
        <f aca="false">B34/(A34*LOG(A34))</f>
        <v>1.21579567071062</v>
      </c>
      <c r="D34" s="0" t="n">
        <f aca="false">$G$7*A34*LOG(A34)</f>
        <v>6330253.25245655</v>
      </c>
      <c r="I34" s="3" t="n">
        <f aca="false">B34&lt;D34</f>
        <v>1</v>
      </c>
    </row>
    <row r="35" customFormat="false" ht="15" hidden="false" customHeight="false" outlineLevel="0" collapsed="false">
      <c r="A35" s="0" t="n">
        <v>850000</v>
      </c>
      <c r="B35" s="0" t="n">
        <v>6350565</v>
      </c>
      <c r="C35" s="0" t="n">
        <f aca="false">B35/(A35*LOG(A35))</f>
        <v>1.26003121634325</v>
      </c>
      <c r="D35" s="0" t="n">
        <f aca="false">$G$7*A35*LOG(A35)</f>
        <v>6755892.88703736</v>
      </c>
      <c r="I35" s="3" t="n">
        <f aca="false">B35&lt;D35</f>
        <v>1</v>
      </c>
    </row>
    <row r="36" customFormat="false" ht="15" hidden="false" customHeight="false" outlineLevel="0" collapsed="false">
      <c r="A36" s="0" t="n">
        <v>900000</v>
      </c>
      <c r="B36" s="0" t="n">
        <v>7143021</v>
      </c>
      <c r="C36" s="0" t="n">
        <f aca="false">B36/(A36*LOG(A36))</f>
        <v>1.33294705202515</v>
      </c>
      <c r="D36" s="0" t="n">
        <f aca="false">$G$7*A36*LOG(A36)</f>
        <v>7183245.72065563</v>
      </c>
      <c r="I36" s="3" t="n">
        <f aca="false">B36&lt;D36</f>
        <v>1</v>
      </c>
    </row>
    <row r="37" customFormat="false" ht="15" hidden="false" customHeight="false" outlineLevel="0" collapsed="false">
      <c r="A37" s="0" t="n">
        <v>950000</v>
      </c>
      <c r="B37" s="0" t="n">
        <v>7903613</v>
      </c>
      <c r="C37" s="0" t="n">
        <f aca="false">B37/(A37*LOG(A37))</f>
        <v>1.391766026823</v>
      </c>
      <c r="D37" s="0" t="n">
        <f aca="false">$G$7*A37*LOG(A37)</f>
        <v>7612216.47458128</v>
      </c>
      <c r="I37" s="3" t="n">
        <f aca="false">B37&lt;D37</f>
        <v>0</v>
      </c>
    </row>
    <row r="38" customFormat="false" ht="15" hidden="false" customHeight="false" outlineLevel="0" collapsed="false">
      <c r="A38" s="0" t="n">
        <v>1000000</v>
      </c>
      <c r="B38" s="0" t="n">
        <v>8782654</v>
      </c>
      <c r="C38" s="0" t="n">
        <f aca="false">B38/(A38*LOG(A38))</f>
        <v>1.46377566666667</v>
      </c>
      <c r="D38" s="0" t="n">
        <f aca="false">$G$7*A38*LOG(A38)</f>
        <v>8042719.91415416</v>
      </c>
      <c r="I38" s="3" t="n">
        <f aca="false">B38&lt;D38</f>
        <v>0</v>
      </c>
    </row>
    <row r="39" customFormat="false" ht="15" hidden="false" customHeight="false" outlineLevel="0" collapsed="false">
      <c r="A39" s="0" t="n">
        <v>1100000</v>
      </c>
      <c r="B39" s="0" t="n">
        <v>10586121</v>
      </c>
      <c r="C39" s="0" t="n">
        <f aca="false">B39/(A39*LOG(A39))</f>
        <v>1.59296818882157</v>
      </c>
      <c r="D39" s="0" t="n">
        <f aca="false">$G$7*A39*LOG(A39)</f>
        <v>8908025.36399367</v>
      </c>
      <c r="I39" s="3" t="n">
        <f aca="false">B39&lt;D39</f>
        <v>0</v>
      </c>
    </row>
    <row r="40" customFormat="false" ht="15" hidden="false" customHeight="false" outlineLevel="0" collapsed="false">
      <c r="A40" s="0" t="n">
        <v>1200000</v>
      </c>
      <c r="B40" s="0" t="n">
        <v>12683963</v>
      </c>
      <c r="C40" s="0" t="n">
        <f aca="false">B40/(A40*LOG(A40))</f>
        <v>1.7387159123671</v>
      </c>
      <c r="D40" s="0" t="n">
        <f aca="false">$G$7*A40*LOG(A40)</f>
        <v>9778630.41386794</v>
      </c>
      <c r="I40" s="3" t="n">
        <f aca="false">B40&lt;D40</f>
        <v>0</v>
      </c>
    </row>
    <row r="41" customFormat="false" ht="15" hidden="false" customHeight="false" outlineLevel="0" collapsed="false">
      <c r="A41" s="0" t="n">
        <v>1300000</v>
      </c>
      <c r="B41" s="0" t="n">
        <v>14927741</v>
      </c>
      <c r="C41" s="0" t="n">
        <f aca="false">B41/(A41*LOG(A41))</f>
        <v>1.87814590856082</v>
      </c>
      <c r="D41" s="0" t="n">
        <f aca="false">$G$7*A41*LOG(A41)</f>
        <v>10654092.3566152</v>
      </c>
      <c r="I41" s="3" t="n">
        <f aca="false">B41&lt;D41</f>
        <v>0</v>
      </c>
    </row>
    <row r="42" customFormat="false" ht="15" hidden="false" customHeight="false" outlineLevel="0" collapsed="false">
      <c r="A42" s="0" t="n">
        <v>1400000</v>
      </c>
      <c r="B42" s="0" t="n">
        <v>17407811</v>
      </c>
      <c r="C42" s="0" t="n">
        <f aca="false">B42/(A42*LOG(A42))</f>
        <v>2.02308683485042</v>
      </c>
      <c r="D42" s="0" t="n">
        <f aca="false">$G$7*A42*LOG(A42)</f>
        <v>11534036.8144145</v>
      </c>
      <c r="I42" s="3" t="n">
        <f aca="false">B42&lt;D42</f>
        <v>0</v>
      </c>
    </row>
    <row r="43" customFormat="false" ht="15" hidden="false" customHeight="false" outlineLevel="0" collapsed="false">
      <c r="A43" s="0" t="n">
        <v>1500000</v>
      </c>
      <c r="B43" s="0" t="n">
        <v>20231327</v>
      </c>
      <c r="C43" s="0" t="n">
        <f aca="false">B43/(A43*LOG(A43))</f>
        <v>2.1838329078375</v>
      </c>
      <c r="D43" s="0" t="n">
        <f aca="false">$G$7*A43*LOG(A43)</f>
        <v>12418143.0402101</v>
      </c>
      <c r="I43" s="3" t="n">
        <f aca="false">B43&lt;D43</f>
        <v>0</v>
      </c>
    </row>
    <row r="44" customFormat="false" ht="15" hidden="false" customHeight="false" outlineLevel="0" collapsed="false">
      <c r="A44" s="0" t="n">
        <v>1600000</v>
      </c>
      <c r="B44" s="0" t="n">
        <v>22499456</v>
      </c>
      <c r="C44" s="0" t="n">
        <f aca="false">B44/(A44*LOG(A44))</f>
        <v>2.26658414719764</v>
      </c>
      <c r="D44" s="0" t="n">
        <f aca="false">$G$7*A44*LOG(A44)</f>
        <v>13306133.1558156</v>
      </c>
      <c r="I44" s="3" t="n">
        <f aca="false">B44&lt;D44</f>
        <v>0</v>
      </c>
    </row>
    <row r="45" customFormat="false" ht="15" hidden="false" customHeight="false" outlineLevel="0" collapsed="false">
      <c r="A45" s="0" t="n">
        <v>1700000</v>
      </c>
      <c r="B45" s="0" t="n">
        <v>25441721</v>
      </c>
      <c r="C45" s="0" t="n">
        <f aca="false">B45/(A45*LOG(A45))</f>
        <v>2.40202887851996</v>
      </c>
      <c r="D45" s="0" t="n">
        <f aca="false">$G$7*A45*LOG(A45)</f>
        <v>14197764.0906586</v>
      </c>
      <c r="I45" s="3" t="n">
        <f aca="false">B45&lt;D45</f>
        <v>0</v>
      </c>
    </row>
    <row r="46" customFormat="false" ht="15" hidden="false" customHeight="false" outlineLevel="0" collapsed="false">
      <c r="A46" s="0" t="n">
        <v>1800000</v>
      </c>
      <c r="B46" s="0" t="n">
        <v>28397844</v>
      </c>
      <c r="C46" s="0" t="n">
        <f aca="false">B46/(A46*LOG(A46))</f>
        <v>2.52212513317826</v>
      </c>
      <c r="D46" s="0" t="n">
        <f aca="false">$G$7*A46*LOG(A46)</f>
        <v>15092821.4235766</v>
      </c>
      <c r="I46" s="3" t="n">
        <f aca="false">B46&lt;D46</f>
        <v>0</v>
      </c>
    </row>
    <row r="47" customFormat="false" ht="15" hidden="false" customHeight="false" outlineLevel="0" collapsed="false">
      <c r="A47" s="0" t="n">
        <v>1900000</v>
      </c>
      <c r="B47" s="0" t="n">
        <v>31624505</v>
      </c>
      <c r="C47" s="0" t="n">
        <f aca="false">B47/(A47*LOG(A47))</f>
        <v>2.65092044912602</v>
      </c>
      <c r="D47" s="0" t="n">
        <f aca="false">$G$7*A47*LOG(A47)</f>
        <v>15991114.5971093</v>
      </c>
      <c r="I47" s="3" t="n">
        <f aca="false">B47&lt;D47</f>
        <v>0</v>
      </c>
    </row>
    <row r="48" customFormat="false" ht="15" hidden="false" customHeight="false" outlineLevel="0" collapsed="false">
      <c r="A48" s="0" t="n">
        <v>2000000</v>
      </c>
      <c r="B48" s="0" t="n">
        <v>35155284</v>
      </c>
      <c r="C48" s="0" t="n">
        <f aca="false">B48/(A48*LOG(A48))</f>
        <v>2.78964582173009</v>
      </c>
      <c r="D48" s="0" t="n">
        <f aca="false">$G$7*A48*LOG(A48)</f>
        <v>16892473.1419365</v>
      </c>
      <c r="I48" s="3" t="n">
        <f aca="false">B48&lt;D48</f>
        <v>0</v>
      </c>
    </row>
    <row r="49" customFormat="false" ht="15" hidden="false" customHeight="false" outlineLevel="0" collapsed="false">
      <c r="A49" s="0" t="n">
        <v>2100000</v>
      </c>
      <c r="B49" s="0" t="n">
        <v>38465320</v>
      </c>
      <c r="C49" s="0" t="n">
        <f aca="false">B49/(A49*LOG(A49))</f>
        <v>2.89721349319155</v>
      </c>
      <c r="D49" s="0" t="n">
        <f aca="false">$G$7*A49*LOG(A49)</f>
        <v>17796743.6581921</v>
      </c>
      <c r="I49" s="3" t="n">
        <f aca="false">B49&lt;D49</f>
        <v>0</v>
      </c>
    </row>
    <row r="50" customFormat="false" ht="15" hidden="false" customHeight="false" outlineLevel="0" collapsed="false">
      <c r="A50" s="0" t="n">
        <v>2200000</v>
      </c>
      <c r="B50" s="0" t="n">
        <v>42571499</v>
      </c>
      <c r="C50" s="0" t="n">
        <f aca="false">B50/(A50*LOG(A50))</f>
        <v>3.05099207943798</v>
      </c>
      <c r="D50" s="0" t="n">
        <f aca="false">$G$7*A50*LOG(A50)</f>
        <v>18703787.3729783</v>
      </c>
      <c r="I50" s="3" t="n">
        <f aca="false">B50&lt;D50</f>
        <v>0</v>
      </c>
    </row>
    <row r="51" customFormat="false" ht="15" hidden="false" customHeight="false" outlineLevel="0" collapsed="false">
      <c r="A51" s="0" t="n">
        <v>2300000</v>
      </c>
      <c r="B51" s="0" t="n">
        <v>46340391</v>
      </c>
      <c r="C51" s="0" t="n">
        <f aca="false">B51/(A51*LOG(A51))</f>
        <v>3.16706350952119</v>
      </c>
      <c r="D51" s="0" t="n">
        <f aca="false">$G$7*A51*LOG(A51)</f>
        <v>19613478.1428142</v>
      </c>
      <c r="I51" s="3" t="n">
        <f aca="false">B51&lt;D51</f>
        <v>0</v>
      </c>
    </row>
    <row r="52" customFormat="false" ht="15" hidden="false" customHeight="false" outlineLevel="0" collapsed="false">
      <c r="A52" s="0" t="n">
        <v>2400000</v>
      </c>
      <c r="B52" s="0" t="n">
        <v>50738442</v>
      </c>
      <c r="C52" s="0" t="n">
        <f aca="false">B52/(A52*LOG(A52))</f>
        <v>3.31352939567069</v>
      </c>
      <c r="D52" s="0" t="n">
        <f aca="false">$G$7*A52*LOG(A52)</f>
        <v>20525700.8040897</v>
      </c>
      <c r="I52" s="3" t="n">
        <f aca="false">B52&lt;D52</f>
        <v>0</v>
      </c>
    </row>
    <row r="53" customFormat="false" ht="15" hidden="false" customHeight="false" outlineLevel="0" collapsed="false">
      <c r="A53" s="0" t="n">
        <v>2500000</v>
      </c>
      <c r="B53" s="0" t="n">
        <v>55144035</v>
      </c>
      <c r="C53" s="0" t="n">
        <f aca="false">B53/(A53*LOG(A53))</f>
        <v>3.44761188290328</v>
      </c>
      <c r="D53" s="0" t="n">
        <f aca="false">$G$7*A53*LOG(A53)</f>
        <v>21440349.7988793</v>
      </c>
      <c r="I53" s="3" t="n">
        <f aca="false">B53&lt;D53</f>
        <v>0</v>
      </c>
    </row>
    <row r="54" customFormat="false" ht="15" hidden="false" customHeight="false" outlineLevel="0" collapsed="false">
      <c r="A54" s="0" t="n">
        <v>2600000</v>
      </c>
      <c r="B54" s="0" t="n">
        <v>58955432</v>
      </c>
      <c r="C54" s="0" t="n">
        <f aca="false">B54/(A54*LOG(A54))</f>
        <v>3.53472491994355</v>
      </c>
      <c r="D54" s="0" t="n">
        <f aca="false">$G$7*A54*LOG(A54)</f>
        <v>22357328.020947</v>
      </c>
      <c r="I54" s="3" t="n">
        <f aca="false">B54&lt;D54</f>
        <v>0</v>
      </c>
    </row>
    <row r="55" customFormat="false" ht="15" hidden="false" customHeight="false" outlineLevel="0" collapsed="false">
      <c r="A55" s="0" t="n">
        <v>2700000</v>
      </c>
      <c r="B55" s="0" t="n">
        <v>64325900</v>
      </c>
      <c r="C55" s="0" t="n">
        <f aca="false">B55/(A55*LOG(A55))</f>
        <v>3.70440987029488</v>
      </c>
      <c r="D55" s="0" t="n">
        <f aca="false">$G$7*A55*LOG(A55)</f>
        <v>23276545.8395269</v>
      </c>
      <c r="I55" s="3" t="n">
        <f aca="false">B55&lt;D55</f>
        <v>0</v>
      </c>
    </row>
    <row r="56" customFormat="false" ht="15" hidden="false" customHeight="false" outlineLevel="0" collapsed="false">
      <c r="A56" s="0" t="n">
        <v>2800000</v>
      </c>
      <c r="B56" s="0" t="n">
        <v>68391449</v>
      </c>
      <c r="C56" s="0" t="n">
        <f aca="false">B56/(A56*LOG(A56))</f>
        <v>3.78857124042218</v>
      </c>
      <c r="D56" s="0" t="n">
        <f aca="false">$G$7*A56*LOG(A56)</f>
        <v>24197920.2679083</v>
      </c>
      <c r="I56" s="3" t="n">
        <f aca="false">B56&lt;D56</f>
        <v>0</v>
      </c>
    </row>
    <row r="57" customFormat="false" ht="15" hidden="false" customHeight="false" outlineLevel="0" collapsed="false">
      <c r="A57" s="0" t="n">
        <v>2900000</v>
      </c>
      <c r="B57" s="0" t="n">
        <v>73483837</v>
      </c>
      <c r="C57" s="0" t="n">
        <f aca="false">B57/(A57*LOG(A57))</f>
        <v>3.92102964660631</v>
      </c>
      <c r="D57" s="0" t="n">
        <f aca="false">$G$7*A57*LOG(A57)</f>
        <v>25121374.2509311</v>
      </c>
      <c r="I57" s="3" t="n">
        <f aca="false">B57&lt;D57</f>
        <v>0</v>
      </c>
    </row>
    <row r="58" customFormat="false" ht="15" hidden="false" customHeight="false" outlineLevel="0" collapsed="false">
      <c r="A58" s="0" t="n">
        <v>3000000</v>
      </c>
      <c r="B58" s="0" t="n">
        <v>79346888</v>
      </c>
      <c r="C58" s="0" t="n">
        <f aca="false">B58/(A58*LOG(A58))</f>
        <v>4.08344411452761</v>
      </c>
      <c r="D58" s="0" t="n">
        <f aca="false">$G$7*A58*LOG(A58)</f>
        <v>26046836.0508625</v>
      </c>
      <c r="I58" s="3" t="n">
        <f aca="false">B58&lt;D58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2025-03-16T18:12:27Z</dcterms:created>
  <dc:creator>JUAN x</dc:creator>
  <dc:description/>
  <dc:language>es-ES</dc:language>
  <cp:lastModifiedBy/>
  <dcterms:modified xsi:type="dcterms:W3CDTF">2025-03-18T11:01:21Z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