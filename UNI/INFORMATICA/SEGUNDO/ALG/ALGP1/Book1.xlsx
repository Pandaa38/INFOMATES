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bubble" sheetId="1" state="visible" r:id="rId3"/>
    <sheet name="Hoja1" sheetId="2" state="visible" r:id="rId4"/>
    <sheet name="merge" sheetId="3" state="visible" r:id="rId5"/>
    <sheet name="quick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<sst xmlns="http://schemas.openxmlformats.org/spreadsheetml/2006/main" count="17" uniqueCount="8">
  <si>
    <t xml:space="preserve">TAMAÑO</t>
  </si>
  <si>
    <t xml:space="preserve">TIEMPO (us)</t>
  </si>
  <si>
    <t xml:space="preserve">TIEMPO/f(n)</t>
  </si>
  <si>
    <t xml:space="preserve">TIEMPO TEORICO (Kpromedio)</t>
  </si>
  <si>
    <t xml:space="preserve">TIEMPO TEORICO (K max)</t>
  </si>
  <si>
    <t xml:space="preserve">K promedio</t>
  </si>
  <si>
    <t xml:space="preserve">K elegida</t>
  </si>
  <si>
    <t xml:space="preserve">TIEMPO TEORICO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</si>
</sst>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4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000000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000000"/>
                </a:solidFill>
                <a:latin typeface="Calibri"/>
              </a:rPr>
              <a:t>bubbleSort</a:t>
            </a:r>
          </a:p>
        </c:rich>
      </c:tx>
      <c:layout>
        <c:manualLayout>
          <c:xMode val="edge"/>
          <c:yMode val="edge"/>
          <c:x val="0.434626865671642"/>
          <c:y val="0.0324078461101109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894979647218453"/>
          <c:y val="0.127925708329385"/>
          <c:w val="0.75685210312076"/>
          <c:h val="0.802141571117218"/>
        </c:manualLayout>
      </c:layout>
      <c:scatterChart>
        <c:scatterStyle val="lineMarker"/>
        <c:varyColors val="0"/>
        <c:ser>
          <c:idx val="0"/>
          <c:order val="0"/>
          <c:tx>
            <c:strRef>
              <c:f>"REAL"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4472c4"/>
            </a:solidFill>
            <a:ln cap="rnd" w="19080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bubble!$A$2:$A$13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</c:numCache>
            </c:numRef>
          </c:xVal>
          <c:yVal>
            <c:numRef>
              <c:f>bubble!$B$2:$B$13</c:f>
              <c:numCache>
                <c:formatCode>General</c:formatCode>
                <c:ptCount val="12"/>
                <c:pt idx="0">
                  <c:v>7829</c:v>
                </c:pt>
                <c:pt idx="1">
                  <c:v>32195</c:v>
                </c:pt>
                <c:pt idx="2">
                  <c:v>72938</c:v>
                </c:pt>
                <c:pt idx="3">
                  <c:v>131458</c:v>
                </c:pt>
                <c:pt idx="4">
                  <c:v>208664</c:v>
                </c:pt>
                <c:pt idx="5">
                  <c:v>297741</c:v>
                </c:pt>
                <c:pt idx="6">
                  <c:v>407043</c:v>
                </c:pt>
                <c:pt idx="7">
                  <c:v>535867</c:v>
                </c:pt>
                <c:pt idx="8">
                  <c:v>675606</c:v>
                </c:pt>
                <c:pt idx="9">
                  <c:v>837917</c:v>
                </c:pt>
                <c:pt idx="10">
                  <c:v>1015483</c:v>
                </c:pt>
                <c:pt idx="11">
                  <c:v>1206883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"TEORICO"</c:f>
              <c:strCache>
                <c:ptCount val="1"/>
                <c:pt idx="0">
                  <c:v>TEORICO</c:v>
                </c:pt>
              </c:strCache>
            </c:strRef>
          </c:tx>
          <c:spPr>
            <a:solidFill>
              <a:srgbClr val="ed7d31"/>
            </a:solidFill>
            <a:ln cap="rnd" w="19080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bubble!$A$2:$A$13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</c:numCache>
            </c:numRef>
          </c:xVal>
          <c:yVal>
            <c:numRef>
              <c:f>bubble!$E$2:$E$13</c:f>
              <c:numCache>
                <c:formatCode>General</c:formatCode>
                <c:ptCount val="12"/>
                <c:pt idx="0">
                  <c:v>8392.42148760331</c:v>
                </c:pt>
                <c:pt idx="1">
                  <c:v>33569.6859504132</c:v>
                </c:pt>
                <c:pt idx="2">
                  <c:v>75531.7933884298</c:v>
                </c:pt>
                <c:pt idx="3">
                  <c:v>134278.743801653</c:v>
                </c:pt>
                <c:pt idx="4">
                  <c:v>209810.537190083</c:v>
                </c:pt>
                <c:pt idx="5">
                  <c:v>302127.173553719</c:v>
                </c:pt>
                <c:pt idx="6">
                  <c:v>411228.652892562</c:v>
                </c:pt>
                <c:pt idx="7">
                  <c:v>537114.975206612</c:v>
                </c:pt>
                <c:pt idx="8">
                  <c:v>679786.140495868</c:v>
                </c:pt>
                <c:pt idx="9">
                  <c:v>839242.148760331</c:v>
                </c:pt>
                <c:pt idx="10">
                  <c:v>1015483</c:v>
                </c:pt>
                <c:pt idx="11">
                  <c:v>1208508.69421488</c:v>
                </c:pt>
              </c:numCache>
            </c:numRef>
          </c:yVal>
          <c:smooth val="0"/>
        </c:ser>
        <c:axId val="40383036"/>
        <c:axId val="76957715"/>
      </c:scatterChart>
      <c:valAx>
        <c:axId val="40383036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957715"/>
        <c:crosses val="autoZero"/>
        <c:crossBetween val="midCat"/>
      </c:valAx>
      <c:valAx>
        <c:axId val="7695771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38303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000000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13</xdr:row>
      <xdr:rowOff>162000</xdr:rowOff>
    </xdr:from>
    <xdr:to>
      <xdr:col>17</xdr:col>
      <xdr:colOff>37440</xdr:colOff>
      <xdr:row>33</xdr:row>
      <xdr:rowOff>150480</xdr:rowOff>
    </xdr:to>
    <xdr:graphicFrame>
      <xdr:nvGraphicFramePr>
        <xdr:cNvPr id="0" name="Gráfico 2"/>
        <xdr:cNvGraphicFramePr/>
      </xdr:nvGraphicFramePr>
      <xdr:xfrm>
        <a:off x="12460680" y="2638440"/>
        <a:ext cx="6632640" cy="3798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3" activeCellId="0" sqref="H13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6.43"/>
    <col collapsed="false" customWidth="true" hidden="false" outlineLevel="0" max="2" min="2" style="1" width="23.72"/>
    <col collapsed="false" customWidth="true" hidden="false" outlineLevel="0" max="3" min="3" style="1" width="23.15"/>
    <col collapsed="false" customWidth="true" hidden="false" outlineLevel="0" max="4" min="4" style="1" width="28"/>
    <col collapsed="false" customWidth="true" hidden="false" outlineLevel="0" max="5" min="5" style="1" width="24.86"/>
    <col collapsed="false" customWidth="true" hidden="false" outlineLevel="0" max="6" min="6" style="1" width="13"/>
    <col collapsed="false" customWidth="true" hidden="false" outlineLevel="0" max="9" min="9" style="1" width="8.29"/>
    <col collapsed="false" customWidth="true" hidden="false" outlineLevel="0" max="10" min="10" style="1" width="18.4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n">
        <v>1000</v>
      </c>
      <c r="B2" s="1" t="n">
        <v>7829</v>
      </c>
      <c r="C2" s="1" t="n">
        <f aca="false">B2/(A2*A2)</f>
        <v>0.007829</v>
      </c>
      <c r="D2" s="1" t="n">
        <f aca="false">$H$7*A2*A2</f>
        <v>8249.05838978485</v>
      </c>
      <c r="E2" s="1" t="n">
        <f aca="false">$H$9 * A2*A2</f>
        <v>8392.42148760331</v>
      </c>
      <c r="J2" s="2" t="b">
        <f aca="false">B2&lt;=E2</f>
        <v>1</v>
      </c>
    </row>
    <row r="3" customFormat="false" ht="15" hidden="false" customHeight="false" outlineLevel="0" collapsed="false">
      <c r="A3" s="1" t="n">
        <v>2000</v>
      </c>
      <c r="B3" s="1" t="n">
        <v>32195</v>
      </c>
      <c r="C3" s="1" t="n">
        <f aca="false">B3/(A3*A3)</f>
        <v>0.00804875</v>
      </c>
      <c r="D3" s="1" t="n">
        <f aca="false">$H$7*A3*A3</f>
        <v>32996.2335591394</v>
      </c>
      <c r="E3" s="1" t="n">
        <f aca="false">$H$9 * A3*A3</f>
        <v>33569.6859504132</v>
      </c>
      <c r="J3" s="2" t="b">
        <f aca="false">B3&lt;=E3</f>
        <v>1</v>
      </c>
    </row>
    <row r="4" customFormat="false" ht="15" hidden="false" customHeight="false" outlineLevel="0" collapsed="false">
      <c r="A4" s="1" t="n">
        <v>3000</v>
      </c>
      <c r="B4" s="1" t="n">
        <v>72938</v>
      </c>
      <c r="C4" s="1" t="n">
        <f aca="false">B4/(A4*A4)</f>
        <v>0.00810422222222222</v>
      </c>
      <c r="D4" s="1" t="n">
        <f aca="false">$H$7*A4*A4</f>
        <v>74241.5255080636</v>
      </c>
      <c r="E4" s="1" t="n">
        <f aca="false">$H$9 * A4*A4</f>
        <v>75531.7933884298</v>
      </c>
      <c r="J4" s="2" t="b">
        <f aca="false">B4&lt;=E4</f>
        <v>1</v>
      </c>
    </row>
    <row r="5" customFormat="false" ht="15" hidden="false" customHeight="false" outlineLevel="0" collapsed="false">
      <c r="A5" s="1" t="n">
        <v>4000</v>
      </c>
      <c r="B5" s="1" t="n">
        <v>131458</v>
      </c>
      <c r="C5" s="1" t="n">
        <f aca="false">B5/(A5*A5)</f>
        <v>0.008216125</v>
      </c>
      <c r="D5" s="1" t="n">
        <f aca="false">$H$7*A5*A5</f>
        <v>131984.934236558</v>
      </c>
      <c r="E5" s="1" t="n">
        <f aca="false">$H$9 * A5*A5</f>
        <v>134278.743801653</v>
      </c>
      <c r="J5" s="2" t="b">
        <f aca="false">B5&lt;=E5</f>
        <v>1</v>
      </c>
    </row>
    <row r="6" customFormat="false" ht="15" hidden="false" customHeight="false" outlineLevel="0" collapsed="false">
      <c r="A6" s="1" t="n">
        <v>5000</v>
      </c>
      <c r="B6" s="1" t="n">
        <v>208664</v>
      </c>
      <c r="C6" s="1" t="n">
        <f aca="false">B6/(A6*A6)</f>
        <v>0.00834656</v>
      </c>
      <c r="D6" s="1" t="n">
        <f aca="false">$H$7*A6*A6</f>
        <v>206226.459744621</v>
      </c>
      <c r="E6" s="1" t="n">
        <f aca="false">$H$9 * A6*A6</f>
        <v>209810.537190083</v>
      </c>
      <c r="J6" s="2" t="b">
        <f aca="false">B6&lt;=E6</f>
        <v>1</v>
      </c>
    </row>
    <row r="7" customFormat="false" ht="15" hidden="false" customHeight="false" outlineLevel="0" collapsed="false">
      <c r="A7" s="1" t="n">
        <v>6000</v>
      </c>
      <c r="B7" s="1" t="n">
        <v>297741</v>
      </c>
      <c r="C7" s="1" t="n">
        <f aca="false">B7/(A7*A7)</f>
        <v>0.00827058333333333</v>
      </c>
      <c r="D7" s="1" t="n">
        <f aca="false">$H$7*A7*A7</f>
        <v>296966.102032254</v>
      </c>
      <c r="E7" s="1" t="n">
        <f aca="false">$H$9 * A7*A7</f>
        <v>302127.173553719</v>
      </c>
      <c r="G7" s="3" t="s">
        <v>5</v>
      </c>
      <c r="H7" s="1" t="n">
        <f aca="false">AVERAGE(C2:C13)</f>
        <v>0.00824905838978484</v>
      </c>
      <c r="J7" s="2" t="b">
        <f aca="false">B7&lt;=E7</f>
        <v>1</v>
      </c>
    </row>
    <row r="8" customFormat="false" ht="15" hidden="false" customHeight="false" outlineLevel="0" collapsed="false">
      <c r="A8" s="1" t="n">
        <v>7000</v>
      </c>
      <c r="B8" s="1" t="n">
        <v>407043</v>
      </c>
      <c r="C8" s="1" t="n">
        <f aca="false">B8/(A8*A8)</f>
        <v>0.008307</v>
      </c>
      <c r="D8" s="1" t="n">
        <f aca="false">$H$7*A8*A8</f>
        <v>404203.861099457</v>
      </c>
      <c r="E8" s="1" t="n">
        <f aca="false">$H$9 * A8*A8</f>
        <v>411228.652892562</v>
      </c>
      <c r="J8" s="2" t="b">
        <f aca="false">B8&lt;=E8</f>
        <v>1</v>
      </c>
    </row>
    <row r="9" customFormat="false" ht="15" hidden="false" customHeight="false" outlineLevel="0" collapsed="false">
      <c r="A9" s="1" t="n">
        <v>8000</v>
      </c>
      <c r="B9" s="1" t="n">
        <v>535867</v>
      </c>
      <c r="C9" s="1" t="n">
        <f aca="false">B9/(A9*A9)</f>
        <v>0.008372921875</v>
      </c>
      <c r="D9" s="1" t="n">
        <f aca="false">$H$7*A9*A9</f>
        <v>527939.73694623</v>
      </c>
      <c r="E9" s="1" t="n">
        <f aca="false">$H$9 * A9*A9</f>
        <v>537114.975206612</v>
      </c>
      <c r="G9" s="3" t="s">
        <v>6</v>
      </c>
      <c r="H9" s="1" t="n">
        <f aca="false">MAX(C2:C13)</f>
        <v>0.00839242148760331</v>
      </c>
      <c r="J9" s="2" t="b">
        <f aca="false">B9&lt;=E9</f>
        <v>1</v>
      </c>
    </row>
    <row r="10" customFormat="false" ht="15" hidden="false" customHeight="false" outlineLevel="0" collapsed="false">
      <c r="A10" s="1" t="n">
        <v>9000</v>
      </c>
      <c r="B10" s="1" t="n">
        <v>675606</v>
      </c>
      <c r="C10" s="1" t="n">
        <f aca="false">B10/(A10*A10)</f>
        <v>0.00834081481481482</v>
      </c>
      <c r="D10" s="1" t="n">
        <f aca="false">$H$7*A10*A10</f>
        <v>668173.729572572</v>
      </c>
      <c r="E10" s="1" t="n">
        <f aca="false">$H$9 * A10*A10</f>
        <v>679786.140495868</v>
      </c>
      <c r="J10" s="2" t="b">
        <f aca="false">B10&lt;=E10</f>
        <v>1</v>
      </c>
    </row>
    <row r="11" customFormat="false" ht="15" hidden="false" customHeight="false" outlineLevel="0" collapsed="false">
      <c r="A11" s="1" t="n">
        <v>10000</v>
      </c>
      <c r="B11" s="1" t="n">
        <v>837917</v>
      </c>
      <c r="C11" s="1" t="n">
        <f aca="false">B11/(A11*A11)</f>
        <v>0.00837917</v>
      </c>
      <c r="D11" s="1" t="n">
        <f aca="false">$H$7*A11*A11</f>
        <v>824905.838978484</v>
      </c>
      <c r="E11" s="1" t="n">
        <f aca="false">$H$9 * A11*A11</f>
        <v>839242.148760331</v>
      </c>
      <c r="J11" s="2" t="b">
        <f aca="false">B11&lt;=E11</f>
        <v>1</v>
      </c>
    </row>
    <row r="12" customFormat="false" ht="15" hidden="false" customHeight="false" outlineLevel="0" collapsed="false">
      <c r="A12" s="1" t="n">
        <v>11000</v>
      </c>
      <c r="B12" s="1" t="n">
        <v>1015483</v>
      </c>
      <c r="C12" s="1" t="n">
        <f aca="false">B12/(A12*A12)</f>
        <v>0.00839242148760331</v>
      </c>
      <c r="D12" s="1" t="n">
        <f aca="false">$H$7*A12*A12</f>
        <v>998136.065163966</v>
      </c>
      <c r="E12" s="1" t="n">
        <f aca="false">$H$9 * A12*A12</f>
        <v>1015483</v>
      </c>
      <c r="J12" s="2" t="b">
        <f aca="false">B12&lt;=E12</f>
        <v>1</v>
      </c>
    </row>
    <row r="13" customFormat="false" ht="15" hidden="false" customHeight="false" outlineLevel="0" collapsed="false">
      <c r="A13" s="1" t="n">
        <v>12000</v>
      </c>
      <c r="B13" s="1" t="n">
        <v>1206883</v>
      </c>
      <c r="C13" s="1" t="n">
        <f aca="false">B13/(A13*A13)</f>
        <v>0.00838113194444445</v>
      </c>
      <c r="D13" s="1" t="n">
        <f aca="false">$H$7*A13*A13</f>
        <v>1187864.40812902</v>
      </c>
      <c r="E13" s="1" t="n">
        <f aca="false">$H$9 * A13*A13</f>
        <v>1208508.69421488</v>
      </c>
      <c r="J13" s="2" t="b">
        <f aca="false">B13&lt;=E13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8" activeCellId="0" sqref="E18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1" t="n">
        <v>13000</v>
      </c>
      <c r="B1" s="1" t="n">
        <v>1422936</v>
      </c>
      <c r="C1" s="1" t="n">
        <f aca="false">B1/(A1*A1)</f>
        <v>0.00841973964497042</v>
      </c>
      <c r="D1" s="1" t="n">
        <f aca="false">bubble!$H$7*A1*A1</f>
        <v>1394090.86787364</v>
      </c>
    </row>
    <row r="2" customFormat="false" ht="15" hidden="false" customHeight="false" outlineLevel="0" collapsed="false">
      <c r="A2" s="1" t="n">
        <v>14000</v>
      </c>
      <c r="B2" s="1" t="n">
        <v>1649290</v>
      </c>
      <c r="C2" s="1" t="n">
        <f aca="false">B2/(A2*A2)</f>
        <v>0.00841474489795918</v>
      </c>
      <c r="D2" s="1" t="n">
        <f aca="false">bubble!$H$7*A2*A2</f>
        <v>1616815.44439783</v>
      </c>
    </row>
    <row r="3" customFormat="false" ht="15" hidden="false" customHeight="false" outlineLevel="0" collapsed="false">
      <c r="A3" s="1" t="n">
        <v>15000</v>
      </c>
      <c r="B3" s="1" t="n">
        <v>1898018</v>
      </c>
      <c r="C3" s="1" t="n">
        <f aca="false">B3/(A3*A3)</f>
        <v>0.00843563555555556</v>
      </c>
      <c r="D3" s="1" t="n">
        <f aca="false">bubble!$H$7*A3*A3</f>
        <v>1856038.13770159</v>
      </c>
    </row>
    <row r="4" customFormat="false" ht="15" hidden="false" customHeight="false" outlineLevel="0" collapsed="false">
      <c r="A4" s="1" t="n">
        <v>20000</v>
      </c>
      <c r="B4" s="1" t="n">
        <v>3350084</v>
      </c>
      <c r="C4" s="1" t="n">
        <f aca="false">B4/(A4*A4)</f>
        <v>0.00837521</v>
      </c>
      <c r="D4" s="1" t="n">
        <f aca="false">bubble!$H$7*A4*A4</f>
        <v>3299623.35591394</v>
      </c>
    </row>
    <row r="5" customFormat="false" ht="15" hidden="false" customHeight="false" outlineLevel="0" collapsed="false">
      <c r="A5" s="1" t="n">
        <v>25000</v>
      </c>
      <c r="B5" s="1" t="n">
        <v>5242753</v>
      </c>
      <c r="C5" s="1" t="n">
        <f aca="false">B5/(A5*A5)</f>
        <v>0.0083884048</v>
      </c>
      <c r="D5" s="1" t="n">
        <f aca="false">bubble!$H$7*A5*A5</f>
        <v>5155661.49361553</v>
      </c>
    </row>
    <row r="6" customFormat="false" ht="15" hidden="false" customHeight="false" outlineLevel="0" collapsed="false">
      <c r="A6" s="1" t="n">
        <v>30000</v>
      </c>
      <c r="B6" s="1" t="n">
        <v>7532748</v>
      </c>
      <c r="C6" s="1" t="n">
        <f aca="false">B6/(A6*A6)</f>
        <v>0.00836972</v>
      </c>
      <c r="D6" s="1" t="n">
        <f aca="false">bubble!$H$7*A6*A6</f>
        <v>7424152.55080636</v>
      </c>
    </row>
    <row r="7" customFormat="false" ht="15" hidden="false" customHeight="false" outlineLevel="0" collapsed="false">
      <c r="A7" s="1" t="n">
        <v>35000</v>
      </c>
      <c r="B7" s="1" t="n">
        <v>10266937</v>
      </c>
      <c r="C7" s="1" t="n">
        <f aca="false">B7/(A7*A7)</f>
        <v>0.00838117306122449</v>
      </c>
      <c r="D7" s="1" t="n">
        <f aca="false">bubble!$H$7*A7*A7</f>
        <v>10105096.5274864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7" activeCellId="0" sqref="K7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8.7"/>
    <col collapsed="false" customWidth="true" hidden="false" outlineLevel="0" max="2" min="2" style="1" width="20.43"/>
    <col collapsed="false" customWidth="true" hidden="false" outlineLevel="0" max="3" min="3" style="1" width="20"/>
    <col collapsed="false" customWidth="true" hidden="false" outlineLevel="0" max="4" min="4" style="1" width="22.86"/>
    <col collapsed="false" customWidth="true" hidden="false" outlineLevel="0" max="6" min="6" style="1" width="13.14"/>
    <col collapsed="false" customWidth="true" hidden="false" outlineLevel="0" max="7" min="7" style="1" width="13.86"/>
    <col collapsed="false" customWidth="true" hidden="false" outlineLevel="0" max="9" min="9" style="1" width="18.29"/>
    <col collapsed="false" customWidth="true" hidden="false" outlineLevel="0" max="10" min="10" style="1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7</v>
      </c>
    </row>
    <row r="2" customFormat="false" ht="15" hidden="false" customHeight="false" outlineLevel="0" collapsed="false">
      <c r="A2" s="1" t="n">
        <v>1000</v>
      </c>
      <c r="B2" s="1" t="n">
        <v>582</v>
      </c>
      <c r="C2" s="1" t="n">
        <f aca="false">B2/(A2*LOG(A2))</f>
        <v>0.194</v>
      </c>
      <c r="D2" s="1" t="n">
        <f aca="false">$G$7*A2*LOG(A2)</f>
        <v>494.382770653592</v>
      </c>
      <c r="I2" s="2" t="b">
        <f aca="false">B2&lt;D2</f>
        <v>0</v>
      </c>
    </row>
    <row r="3" customFormat="false" ht="15" hidden="false" customHeight="false" outlineLevel="0" collapsed="false">
      <c r="A3" s="1" t="n">
        <v>2000</v>
      </c>
      <c r="B3" s="1" t="n">
        <v>1186</v>
      </c>
      <c r="C3" s="1" t="n">
        <f aca="false">B3/(A3*LOG(A3))</f>
        <v>0.179640900197492</v>
      </c>
      <c r="D3" s="1" t="n">
        <f aca="false">$G$7*A3*LOG(A3)</f>
        <v>1087.98157017798</v>
      </c>
      <c r="I3" s="2" t="b">
        <f aca="false">B3&lt;D3</f>
        <v>0</v>
      </c>
    </row>
    <row r="4" customFormat="false" ht="15" hidden="false" customHeight="false" outlineLevel="0" collapsed="false">
      <c r="A4" s="1" t="n">
        <v>3000</v>
      </c>
      <c r="B4" s="1" t="n">
        <v>1830</v>
      </c>
      <c r="C4" s="1" t="n">
        <f aca="false">B4/(A4*LOG(A4))</f>
        <v>0.175432478568879</v>
      </c>
      <c r="D4" s="1" t="n">
        <f aca="false">$G$7*A4*LOG(A4)</f>
        <v>1719.0288398068</v>
      </c>
      <c r="I4" s="2" t="b">
        <f aca="false">B4&lt;D4</f>
        <v>0</v>
      </c>
    </row>
    <row r="5" customFormat="false" ht="15" hidden="false" customHeight="false" outlineLevel="0" collapsed="false">
      <c r="A5" s="1" t="n">
        <v>4000</v>
      </c>
      <c r="B5" s="1" t="n">
        <v>2508</v>
      </c>
      <c r="C5" s="1" t="n">
        <f aca="false">B5/(A5*LOG(A5))</f>
        <v>0.174067062044918</v>
      </c>
      <c r="D5" s="1" t="n">
        <f aca="false">$G$7*A5*LOG(A5)</f>
        <v>2374.39519809756</v>
      </c>
      <c r="I5" s="2" t="b">
        <f aca="false">B5&lt;D5</f>
        <v>0</v>
      </c>
    </row>
    <row r="6" customFormat="false" ht="15" hidden="false" customHeight="false" outlineLevel="0" collapsed="false">
      <c r="A6" s="1" t="n">
        <v>5000</v>
      </c>
      <c r="B6" s="1" t="n">
        <v>3152</v>
      </c>
      <c r="C6" s="1" t="n">
        <f aca="false">B6/(A6*LOG(A6))</f>
        <v>0.170425821042352</v>
      </c>
      <c r="D6" s="1" t="n">
        <f aca="false">$G$7*A6*LOG(A6)</f>
        <v>3047.84506551362</v>
      </c>
      <c r="I6" s="2" t="b">
        <f aca="false">B6&lt;D6</f>
        <v>0</v>
      </c>
    </row>
    <row r="7" customFormat="false" ht="15" hidden="false" customHeight="false" outlineLevel="0" collapsed="false">
      <c r="A7" s="1" t="n">
        <v>6000</v>
      </c>
      <c r="B7" s="1" t="n">
        <v>3807</v>
      </c>
      <c r="C7" s="1" t="n">
        <f aca="false">B7/(A7*LOG(A7))</f>
        <v>0.167939279809291</v>
      </c>
      <c r="D7" s="1" t="n">
        <f aca="false">$G$7*A7*LOG(A7)</f>
        <v>3735.70576622599</v>
      </c>
      <c r="F7" s="3" t="s">
        <v>5</v>
      </c>
      <c r="G7" s="1" t="n">
        <f aca="false">AVERAGE(C2:C20)</f>
        <v>0.164794256884531</v>
      </c>
      <c r="I7" s="2" t="b">
        <f aca="false">B7&lt;D7</f>
        <v>0</v>
      </c>
    </row>
    <row r="8" customFormat="false" ht="15" hidden="false" customHeight="false" outlineLevel="0" collapsed="false">
      <c r="A8" s="1" t="n">
        <v>7000</v>
      </c>
      <c r="B8" s="1" t="n">
        <v>4512</v>
      </c>
      <c r="C8" s="1" t="n">
        <f aca="false">B8/(A8*LOG(A8))</f>
        <v>0.167634588731849</v>
      </c>
      <c r="D8" s="1" t="n">
        <f aca="false">$G$7*A8*LOG(A8)</f>
        <v>4435.5505190662</v>
      </c>
      <c r="I8" s="2" t="b">
        <f aca="false">B8&lt;D8</f>
        <v>0</v>
      </c>
    </row>
    <row r="9" customFormat="false" ht="15" hidden="false" customHeight="false" outlineLevel="0" collapsed="false">
      <c r="A9" s="1" t="n">
        <v>8000</v>
      </c>
      <c r="B9" s="1" t="n">
        <v>5112</v>
      </c>
      <c r="C9" s="1" t="n">
        <f aca="false">B9/(A9*LOG(A9))</f>
        <v>0.163716440596971</v>
      </c>
      <c r="D9" s="1" t="n">
        <f aca="false">$G$7*A9*LOG(A9)</f>
        <v>5145.65451167832</v>
      </c>
      <c r="I9" s="2" t="b">
        <f aca="false">B9&lt;D9</f>
        <v>1</v>
      </c>
    </row>
    <row r="10" customFormat="false" ht="15" hidden="false" customHeight="false" outlineLevel="0" collapsed="false">
      <c r="A10" s="1" t="n">
        <v>9000</v>
      </c>
      <c r="B10" s="1" t="n">
        <v>5758</v>
      </c>
      <c r="C10" s="1" t="n">
        <f aca="false">B10/(A10*LOG(A10))</f>
        <v>0.161795280954706</v>
      </c>
      <c r="D10" s="1" t="n">
        <f aca="false">$G$7*A10*LOG(A10)</f>
        <v>5864.72810295847</v>
      </c>
      <c r="I10" s="2" t="b">
        <f aca="false">B10&lt;D10</f>
        <v>1</v>
      </c>
    </row>
    <row r="11" customFormat="false" ht="15" hidden="false" customHeight="false" outlineLevel="0" collapsed="false">
      <c r="A11" s="1" t="n">
        <v>10000</v>
      </c>
      <c r="B11" s="1" t="n">
        <v>6433</v>
      </c>
      <c r="C11" s="1" t="n">
        <f aca="false">B11/(A11*LOG(A11))</f>
        <v>0.160825</v>
      </c>
      <c r="D11" s="1" t="n">
        <f aca="false">$G$7*A11*LOG(A11)</f>
        <v>6591.77027538122</v>
      </c>
      <c r="I11" s="2" t="b">
        <f aca="false">B11&lt;D11</f>
        <v>1</v>
      </c>
    </row>
    <row r="12" customFormat="false" ht="15" hidden="false" customHeight="false" outlineLevel="0" collapsed="false">
      <c r="A12" s="1" t="n">
        <v>11000</v>
      </c>
      <c r="B12" s="1" t="n">
        <v>7378</v>
      </c>
      <c r="C12" s="1" t="n">
        <f aca="false">B12/(A12*LOG(A12))</f>
        <v>0.165964390243611</v>
      </c>
      <c r="D12" s="1" t="n">
        <f aca="false">$G$7*A12*LOG(A12)</f>
        <v>7325.9813476215</v>
      </c>
      <c r="I12" s="2" t="b">
        <f aca="false">B12&lt;D12</f>
        <v>0</v>
      </c>
    </row>
    <row r="13" customFormat="false" ht="15" hidden="false" customHeight="false" outlineLevel="0" collapsed="false">
      <c r="A13" s="1" t="n">
        <v>12000</v>
      </c>
      <c r="B13" s="1" t="n">
        <v>7822</v>
      </c>
      <c r="C13" s="1" t="n">
        <f aca="false">B13/(A13*LOG(A13))</f>
        <v>0.159795138783035</v>
      </c>
      <c r="D13" s="1" t="n">
        <f aca="false">$G$7*A13*LOG(A13)</f>
        <v>8066.70770567678</v>
      </c>
      <c r="I13" s="2" t="b">
        <f aca="false">B13&lt;D13</f>
        <v>1</v>
      </c>
    </row>
    <row r="14" customFormat="false" ht="15" hidden="false" customHeight="false" outlineLevel="0" collapsed="false">
      <c r="A14" s="1" t="n">
        <v>13000</v>
      </c>
      <c r="B14" s="1" t="n">
        <v>8500</v>
      </c>
      <c r="C14" s="1" t="n">
        <f aca="false">B14/(A14*LOG(A14))</f>
        <v>0.158934165556635</v>
      </c>
      <c r="D14" s="1" t="n">
        <f aca="false">$G$7*A14*LOG(A14)</f>
        <v>8813.40508890997</v>
      </c>
      <c r="I14" s="2" t="b">
        <f aca="false">B14&lt;D14</f>
        <v>1</v>
      </c>
    </row>
    <row r="15" customFormat="false" ht="15" hidden="false" customHeight="false" outlineLevel="0" collapsed="false">
      <c r="A15" s="1" t="n">
        <v>14000</v>
      </c>
      <c r="B15" s="1" t="n">
        <v>9215</v>
      </c>
      <c r="C15" s="1" t="n">
        <f aca="false">B15/(A15*LOG(A15))</f>
        <v>0.158753969981203</v>
      </c>
      <c r="D15" s="1" t="n">
        <f aca="false">$G$7*A15*LOG(A15)</f>
        <v>9565.61324022799</v>
      </c>
      <c r="I15" s="2" t="b">
        <f aca="false">B15&lt;D15</f>
        <v>1</v>
      </c>
    </row>
    <row r="16" customFormat="false" ht="15" hidden="false" customHeight="false" outlineLevel="0" collapsed="false">
      <c r="A16" s="1" t="n">
        <v>15000</v>
      </c>
      <c r="B16" s="1" t="n">
        <v>10029</v>
      </c>
      <c r="C16" s="1" t="n">
        <f aca="false">B16/(A16*LOG(A16))</f>
        <v>0.160101865243047</v>
      </c>
      <c r="D16" s="1" t="n">
        <f aca="false">$G$7*A16*LOG(A16)</f>
        <v>10322.937835771</v>
      </c>
      <c r="I16" s="2" t="b">
        <f aca="false">B16&lt;D16</f>
        <v>1</v>
      </c>
    </row>
    <row r="17" customFormat="false" ht="15" hidden="false" customHeight="false" outlineLevel="0" collapsed="false">
      <c r="A17" s="1" t="n">
        <v>20000</v>
      </c>
      <c r="B17" s="1" t="n">
        <v>13713</v>
      </c>
      <c r="C17" s="1" t="n">
        <f aca="false">B17/(A17*LOG(A17))</f>
        <v>0.159415303006775</v>
      </c>
      <c r="D17" s="1" t="n">
        <f aca="false">$G$7*A17*LOG(A17)</f>
        <v>14175.7008394704</v>
      </c>
      <c r="I17" s="2" t="b">
        <f aca="false">B17&lt;D17</f>
        <v>1</v>
      </c>
    </row>
    <row r="18" customFormat="false" ht="15" hidden="false" customHeight="false" outlineLevel="0" collapsed="false">
      <c r="A18" s="1" t="n">
        <v>25000</v>
      </c>
      <c r="B18" s="1" t="n">
        <v>16864</v>
      </c>
      <c r="C18" s="1" t="n">
        <f aca="false">B18/(A18*LOG(A18))</f>
        <v>0.15338090075578</v>
      </c>
      <c r="D18" s="1" t="n">
        <f aca="false">$G$7*A18*LOG(A18)</f>
        <v>18118.8813887964</v>
      </c>
      <c r="I18" s="2" t="b">
        <f aca="false">B18&lt;D18</f>
        <v>1</v>
      </c>
    </row>
    <row r="19" customFormat="false" ht="15" hidden="false" customHeight="false" outlineLevel="0" collapsed="false">
      <c r="A19" s="1" t="n">
        <v>30000</v>
      </c>
      <c r="B19" s="1" t="n">
        <v>20283</v>
      </c>
      <c r="C19" s="1" t="n">
        <f aca="false">B19/(A19*LOG(A19))</f>
        <v>0.151012215558664</v>
      </c>
      <c r="D19" s="1" t="n">
        <f aca="false">$G$7*A19*LOG(A19)</f>
        <v>22134.1161046039</v>
      </c>
      <c r="I19" s="2" t="b">
        <f aca="false">B19&lt;D19</f>
        <v>1</v>
      </c>
    </row>
    <row r="20" customFormat="false" ht="15" hidden="false" customHeight="false" outlineLevel="0" collapsed="false">
      <c r="A20" s="1" t="n">
        <v>35000</v>
      </c>
      <c r="B20" s="1" t="n">
        <v>23579</v>
      </c>
      <c r="C20" s="1" t="n">
        <f aca="false">B20/(A20*LOG(A20))</f>
        <v>0.148256079730875</v>
      </c>
      <c r="D20" s="1" t="n">
        <f aca="false">$G$7*A20*LOG(A20)</f>
        <v>26209.2710810506</v>
      </c>
      <c r="I20" s="2" t="b">
        <f aca="false">B20&lt;D20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22" activeCellId="0" sqref="G122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4.57"/>
    <col collapsed="false" customWidth="true" hidden="false" outlineLevel="0" max="2" min="2" style="1" width="18.7"/>
    <col collapsed="false" customWidth="true" hidden="false" outlineLevel="0" max="3" min="3" style="1" width="25.43"/>
    <col collapsed="false" customWidth="true" hidden="false" outlineLevel="0" max="4" min="4" style="4" width="25.14"/>
    <col collapsed="false" customWidth="true" hidden="false" outlineLevel="0" max="6" min="6" style="1" width="14.86"/>
    <col collapsed="false" customWidth="true" hidden="false" outlineLevel="0" max="7" min="7" style="1" width="17.03"/>
    <col collapsed="false" customWidth="true" hidden="false" outlineLevel="0" max="9" min="9" style="1" width="11.8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4" t="s">
        <v>7</v>
      </c>
    </row>
    <row r="2" customFormat="false" ht="15" hidden="false" customHeight="false" outlineLevel="0" collapsed="false">
      <c r="A2" s="0" t="n">
        <v>50000</v>
      </c>
      <c r="B2" s="0" t="n">
        <v>33996</v>
      </c>
      <c r="C2" s="1" t="n">
        <f aca="false">B2/(A2*LOG(A2))</f>
        <v>0.1446955395273</v>
      </c>
      <c r="D2" s="4" t="n">
        <f aca="false">$G$7*A2*LOG(A2)</f>
        <v>996192.011380844</v>
      </c>
      <c r="I2" s="2" t="b">
        <f aca="false">B2&lt;D2</f>
        <v>1</v>
      </c>
    </row>
    <row r="3" customFormat="false" ht="15" hidden="false" customHeight="false" outlineLevel="0" collapsed="false">
      <c r="A3" s="0" t="n">
        <v>100000</v>
      </c>
      <c r="B3" s="0" t="n">
        <v>111341</v>
      </c>
      <c r="C3" s="1" t="n">
        <f aca="false">B3/(A3*LOG(A3))</f>
        <v>0.222682</v>
      </c>
      <c r="D3" s="4" t="n">
        <f aca="false">$G$7*A3*LOG(A3)</f>
        <v>2120022.06964845</v>
      </c>
      <c r="I3" s="2" t="b">
        <f aca="false">B3&lt;D3</f>
        <v>1</v>
      </c>
    </row>
    <row r="4" customFormat="false" ht="15" hidden="false" customHeight="false" outlineLevel="0" collapsed="false">
      <c r="A4" s="0" t="n">
        <v>150000</v>
      </c>
      <c r="B4" s="0" t="n">
        <v>230035</v>
      </c>
      <c r="C4" s="1" t="n">
        <f aca="false">B4/(A4*LOG(A4))</f>
        <v>0.296278908140126</v>
      </c>
      <c r="D4" s="4" t="n">
        <f aca="false">$G$7*A4*LOG(A4)</f>
        <v>3292028.31111375</v>
      </c>
      <c r="I4" s="2" t="b">
        <f aca="false">B4&lt;D4</f>
        <v>1</v>
      </c>
    </row>
    <row r="5" customFormat="false" ht="15" hidden="false" customHeight="false" outlineLevel="0" collapsed="false">
      <c r="A5" s="0" t="n">
        <v>200000</v>
      </c>
      <c r="B5" s="0" t="n">
        <v>390238</v>
      </c>
      <c r="C5" s="1" t="n">
        <f aca="false">B5/(A5*LOG(A5))</f>
        <v>0.36807752485762</v>
      </c>
      <c r="D5" s="4" t="n">
        <f aca="false">$G$7*A5*LOG(A5)</f>
        <v>4495320.23307043</v>
      </c>
      <c r="I5" s="2" t="b">
        <f aca="false">B5&lt;D5</f>
        <v>1</v>
      </c>
    </row>
    <row r="6" customFormat="false" ht="15" hidden="false" customHeight="false" outlineLevel="0" collapsed="false">
      <c r="A6" s="0" t="n">
        <v>250000</v>
      </c>
      <c r="B6" s="0" t="n">
        <v>594154</v>
      </c>
      <c r="C6" s="1" t="n">
        <f aca="false">B6/(A6*LOG(A6))</f>
        <v>0.440282032809157</v>
      </c>
      <c r="D6" s="4" t="n">
        <f aca="false">$G$7*A6*LOG(A6)</f>
        <v>5721875.97451154</v>
      </c>
      <c r="I6" s="2" t="b">
        <f aca="false">B6&lt;D6</f>
        <v>1</v>
      </c>
    </row>
    <row r="7" customFormat="false" ht="15" hidden="false" customHeight="false" outlineLevel="0" collapsed="false">
      <c r="A7" s="0" t="n">
        <v>300000</v>
      </c>
      <c r="B7" s="0" t="n">
        <v>846056</v>
      </c>
      <c r="C7" s="1" t="n">
        <f aca="false">B7/(A7*LOG(A7))</f>
        <v>0.514903091516643</v>
      </c>
      <c r="D7" s="4" t="n">
        <f aca="false">$G$7*A7*LOG(A7)</f>
        <v>6966970.76288778</v>
      </c>
      <c r="F7" s="3" t="s">
        <v>5</v>
      </c>
      <c r="G7" s="5" t="n">
        <f aca="false">AVERAGE(C2:C128)</f>
        <v>4.2400441392969</v>
      </c>
      <c r="I7" s="2" t="b">
        <f aca="false">B7&lt;D7</f>
        <v>1</v>
      </c>
    </row>
    <row r="8" customFormat="false" ht="15" hidden="false" customHeight="false" outlineLevel="0" collapsed="false">
      <c r="A8" s="0" t="n">
        <v>350000</v>
      </c>
      <c r="B8" s="0" t="n">
        <v>1134234</v>
      </c>
      <c r="C8" s="1" t="n">
        <f aca="false">B8/(A8*LOG(A8))</f>
        <v>0.58452900388389</v>
      </c>
      <c r="D8" s="4" t="n">
        <f aca="false">$G$7*A8*LOG(A8)</f>
        <v>8227482.62675872</v>
      </c>
      <c r="I8" s="2" t="b">
        <f aca="false">B8&lt;D8</f>
        <v>1</v>
      </c>
    </row>
    <row r="9" customFormat="false" ht="15" hidden="false" customHeight="false" outlineLevel="0" collapsed="false">
      <c r="A9" s="0" t="n">
        <v>400000</v>
      </c>
      <c r="B9" s="0" t="n">
        <v>1467478</v>
      </c>
      <c r="C9" s="1" t="n">
        <f aca="false">B9/(A9*LOG(A9))</f>
        <v>0.654883204692412</v>
      </c>
      <c r="D9" s="4" t="n">
        <f aca="false">$G$7*A9*LOG(A9)</f>
        <v>9501192.65368791</v>
      </c>
      <c r="I9" s="2" t="b">
        <f aca="false">B9&lt;D9</f>
        <v>1</v>
      </c>
    </row>
    <row r="10" customFormat="false" ht="15" hidden="false" customHeight="false" outlineLevel="0" collapsed="false">
      <c r="A10" s="0" t="n">
        <v>450000</v>
      </c>
      <c r="B10" s="0" t="n">
        <v>1836199</v>
      </c>
      <c r="C10" s="1" t="n">
        <f aca="false">B10/(A10*LOG(A10))</f>
        <v>0.721791762166961</v>
      </c>
      <c r="D10" s="4" t="n">
        <f aca="false">$G$7*A10*LOG(A10)</f>
        <v>10786441.7642549</v>
      </c>
      <c r="I10" s="2" t="b">
        <f aca="false">B10&lt;D10</f>
        <v>1</v>
      </c>
    </row>
    <row r="11" customFormat="false" ht="15" hidden="false" customHeight="false" outlineLevel="0" collapsed="false">
      <c r="A11" s="0" t="n">
        <v>500000</v>
      </c>
      <c r="B11" s="0" t="n">
        <v>2261122</v>
      </c>
      <c r="C11" s="1" t="n">
        <f aca="false">B11/(A11*LOG(A11))</f>
        <v>0.793519530118475</v>
      </c>
      <c r="D11" s="4" t="n">
        <f aca="false">$G$7*A11*LOG(A11)</f>
        <v>12081942.1834569</v>
      </c>
      <c r="I11" s="2" t="b">
        <f aca="false">B11&lt;D11</f>
        <v>1</v>
      </c>
    </row>
    <row r="12" customFormat="false" ht="15" hidden="false" customHeight="false" outlineLevel="0" collapsed="false">
      <c r="A12" s="0" t="n">
        <v>550000</v>
      </c>
      <c r="B12" s="0" t="n">
        <v>2719953</v>
      </c>
      <c r="C12" s="1" t="n">
        <f aca="false">B12/(A12*LOG(A12))</f>
        <v>0.861508123861213</v>
      </c>
      <c r="D12" s="4" t="n">
        <f aca="false">$G$7*A12*LOG(A12)</f>
        <v>13386665.1484658</v>
      </c>
      <c r="I12" s="2" t="b">
        <f aca="false">B12&lt;D12</f>
        <v>1</v>
      </c>
    </row>
    <row r="13" customFormat="false" ht="15" hidden="false" customHeight="false" outlineLevel="0" collapsed="false">
      <c r="A13" s="0" t="n">
        <v>600000</v>
      </c>
      <c r="B13" s="0" t="n">
        <v>3233934</v>
      </c>
      <c r="C13" s="1" t="n">
        <f aca="false">B13/(A13*LOG(A13))</f>
        <v>0.932805280865941</v>
      </c>
      <c r="D13" s="4" t="n">
        <f aca="false">$G$7*A13*LOG(A13)</f>
        <v>14699769.8070961</v>
      </c>
      <c r="I13" s="2" t="b">
        <f aca="false">B13&lt;D13</f>
        <v>1</v>
      </c>
    </row>
    <row r="14" customFormat="false" ht="15" hidden="false" customHeight="false" outlineLevel="0" collapsed="false">
      <c r="A14" s="0" t="n">
        <v>650000</v>
      </c>
      <c r="B14" s="0" t="n">
        <v>3777360</v>
      </c>
      <c r="C14" s="1" t="n">
        <f aca="false">B14/(A14*LOG(A14))</f>
        <v>0.999726422944536</v>
      </c>
      <c r="D14" s="4" t="n">
        <f aca="false">$G$7*A14*LOG(A14)</f>
        <v>16020555.9865482</v>
      </c>
      <c r="I14" s="2" t="b">
        <f aca="false">B14&lt;D14</f>
        <v>1</v>
      </c>
    </row>
    <row r="15" customFormat="false" ht="15" hidden="false" customHeight="false" outlineLevel="0" collapsed="false">
      <c r="A15" s="0" t="n">
        <v>700000</v>
      </c>
      <c r="B15" s="0" t="n">
        <v>4368078</v>
      </c>
      <c r="C15" s="1" t="n">
        <f aca="false">B15/(A15*LOG(A15))</f>
        <v>1.06758028451413</v>
      </c>
      <c r="D15" s="4" t="n">
        <f aca="false">$G$7*A15*LOG(A15)</f>
        <v>17348431.5817248</v>
      </c>
      <c r="I15" s="2" t="b">
        <f aca="false">B15&lt;D15</f>
        <v>1</v>
      </c>
    </row>
    <row r="16" customFormat="false" ht="15" hidden="false" customHeight="false" outlineLevel="0" collapsed="false">
      <c r="A16" s="0" t="n">
        <v>750000</v>
      </c>
      <c r="B16" s="0" t="n">
        <v>4996087</v>
      </c>
      <c r="C16" s="1" t="n">
        <f aca="false">B16/(A16*LOG(A16))</f>
        <v>1.13385189271842</v>
      </c>
      <c r="D16" s="4" t="n">
        <f aca="false">$G$7*A16*LOG(A16)</f>
        <v>18682889.3083907</v>
      </c>
      <c r="I16" s="2" t="b">
        <f aca="false">B16&lt;D16</f>
        <v>1</v>
      </c>
    </row>
    <row r="17" customFormat="false" ht="15" hidden="false" customHeight="false" outlineLevel="0" collapsed="false">
      <c r="A17" s="0" t="n">
        <v>800000</v>
      </c>
      <c r="B17" s="0" t="n">
        <v>5676758</v>
      </c>
      <c r="C17" s="1" t="n">
        <f aca="false">B17/(A17*LOG(A17))</f>
        <v>1.20207340827205</v>
      </c>
      <c r="D17" s="4" t="n">
        <f aca="false">$G$7*A17*LOG(A17)</f>
        <v>20023489.6824699</v>
      </c>
      <c r="I17" s="2" t="b">
        <f aca="false">B17&lt;D17</f>
        <v>1</v>
      </c>
    </row>
    <row r="18" customFormat="false" ht="15" hidden="false" customHeight="false" outlineLevel="0" collapsed="false">
      <c r="A18" s="0" t="n">
        <v>850000</v>
      </c>
      <c r="B18" s="0" t="n">
        <v>6377711</v>
      </c>
      <c r="C18" s="1" t="n">
        <f aca="false">B18/(A18*LOG(A18))</f>
        <v>1.26541732094951</v>
      </c>
      <c r="D18" s="4" t="n">
        <f aca="false">$G$7*A18*LOG(A18)</f>
        <v>21369848.2705994</v>
      </c>
      <c r="I18" s="2" t="b">
        <f aca="false">B18&lt;D18</f>
        <v>1</v>
      </c>
    </row>
    <row r="19" customFormat="false" ht="15" hidden="false" customHeight="false" outlineLevel="0" collapsed="false">
      <c r="A19" s="0" t="n">
        <v>900000</v>
      </c>
      <c r="B19" s="0" t="n">
        <v>7151157</v>
      </c>
      <c r="C19" s="1" t="n">
        <f aca="false">B19/(A19*LOG(A19))</f>
        <v>1.33446529720675</v>
      </c>
      <c r="D19" s="4" t="n">
        <f aca="false">$G$7*A19*LOG(A19)</f>
        <v>22721625.9504906</v>
      </c>
      <c r="I19" s="2" t="b">
        <f aca="false">B19&lt;D19</f>
        <v>1</v>
      </c>
    </row>
    <row r="20" customFormat="false" ht="15" hidden="false" customHeight="false" outlineLevel="0" collapsed="false">
      <c r="A20" s="0" t="n">
        <v>950000</v>
      </c>
      <c r="B20" s="0" t="n">
        <v>7952868</v>
      </c>
      <c r="C20" s="1" t="n">
        <f aca="false">B20/(A20*LOG(A20))</f>
        <v>1.40043945701894</v>
      </c>
      <c r="D20" s="4" t="n">
        <f aca="false">$G$7*A20*LOG(A20)</f>
        <v>24078521.3419946</v>
      </c>
      <c r="I20" s="2" t="b">
        <f aca="false">B20&lt;D20</f>
        <v>1</v>
      </c>
    </row>
    <row r="21" customFormat="false" ht="15" hidden="false" customHeight="false" outlineLevel="0" collapsed="false">
      <c r="A21" s="0" t="n">
        <v>1000000</v>
      </c>
      <c r="B21" s="0" t="n">
        <v>9104283</v>
      </c>
      <c r="C21" s="1" t="n">
        <f aca="false">B21/(A21*LOG(A21))</f>
        <v>1.5173805</v>
      </c>
      <c r="D21" s="4" t="n">
        <f aca="false">$G$7*A21*LOG(A21)</f>
        <v>25440264.8357814</v>
      </c>
      <c r="I21" s="2" t="b">
        <f aca="false">B21&lt;D21</f>
        <v>1</v>
      </c>
    </row>
    <row r="22" customFormat="false" ht="15" hidden="false" customHeight="false" outlineLevel="0" collapsed="false">
      <c r="A22" s="0" t="n">
        <v>1050000</v>
      </c>
      <c r="B22" s="0" t="n">
        <v>9911259</v>
      </c>
      <c r="C22" s="1" t="n">
        <f aca="false">B22/(A22*LOG(A22))</f>
        <v>1.5676793764269</v>
      </c>
      <c r="D22" s="4" t="n">
        <f aca="false">$G$7*A22*LOG(A22)</f>
        <v>26806613.8190747</v>
      </c>
      <c r="I22" s="2" t="b">
        <f aca="false">B22&lt;D22</f>
        <v>1</v>
      </c>
    </row>
    <row r="23" customFormat="false" ht="15" hidden="false" customHeight="false" outlineLevel="0" collapsed="false">
      <c r="A23" s="0" t="n">
        <v>1100000</v>
      </c>
      <c r="B23" s="0" t="n">
        <v>10786917</v>
      </c>
      <c r="C23" s="1" t="n">
        <f aca="false">B23/(A23*LOG(A23))</f>
        <v>1.6231833772218</v>
      </c>
      <c r="D23" s="4" t="n">
        <f aca="false">$G$7*A23*LOG(A23)</f>
        <v>28177348.8126859</v>
      </c>
      <c r="I23" s="2" t="b">
        <f aca="false">B23&lt;D23</f>
        <v>1</v>
      </c>
    </row>
    <row r="24" customFormat="false" ht="15" hidden="false" customHeight="false" outlineLevel="0" collapsed="false">
      <c r="A24" s="0" t="n">
        <v>1150000</v>
      </c>
      <c r="B24" s="0" t="n">
        <v>11632024</v>
      </c>
      <c r="C24" s="1" t="n">
        <f aca="false">B24/(A24*LOG(A24))</f>
        <v>1.66891730039964</v>
      </c>
      <c r="D24" s="4" t="n">
        <f aca="false">$G$7*A24*LOG(A24)</f>
        <v>29552270.3117468</v>
      </c>
      <c r="I24" s="2" t="b">
        <f aca="false">B24&lt;D24</f>
        <v>1</v>
      </c>
    </row>
    <row r="25" customFormat="false" ht="15" hidden="false" customHeight="false" outlineLevel="0" collapsed="false">
      <c r="A25" s="0" t="n">
        <v>1200000</v>
      </c>
      <c r="B25" s="0" t="n">
        <v>12748728</v>
      </c>
      <c r="C25" s="1" t="n">
        <f aca="false">B25/(A25*LOG(A25))</f>
        <v>1.74759388970466</v>
      </c>
      <c r="D25" s="4" t="n">
        <f aca="false">$G$7*A25*LOG(A25)</f>
        <v>30931196.1768334</v>
      </c>
      <c r="I25" s="2" t="b">
        <f aca="false">B25&lt;D25</f>
        <v>1</v>
      </c>
    </row>
    <row r="26" customFormat="false" ht="15" hidden="false" customHeight="false" outlineLevel="0" collapsed="false">
      <c r="A26" s="0" t="n">
        <v>1250000</v>
      </c>
      <c r="B26" s="0" t="n">
        <v>13915315</v>
      </c>
      <c r="C26" s="1" t="n">
        <f aca="false">B26/(A26*LOG(A26))</f>
        <v>1.82588425550792</v>
      </c>
      <c r="D26" s="4" t="n">
        <f aca="false">$G$7*A26*LOG(A26)</f>
        <v>32313959.4605943</v>
      </c>
      <c r="I26" s="2" t="b">
        <f aca="false">B26&lt;D26</f>
        <v>1</v>
      </c>
    </row>
    <row r="27" customFormat="false" ht="15" hidden="false" customHeight="false" outlineLevel="0" collapsed="false">
      <c r="A27" s="0" t="n">
        <v>1300000</v>
      </c>
      <c r="B27" s="0" t="n">
        <v>15063964</v>
      </c>
      <c r="C27" s="1" t="n">
        <f aca="false">B27/(A27*LOG(A27))</f>
        <v>1.89528491640547</v>
      </c>
      <c r="D27" s="4" t="n">
        <f aca="false">$G$7*A27*LOG(A27)</f>
        <v>33700406.5826244</v>
      </c>
      <c r="I27" s="2" t="b">
        <f aca="false">B27&lt;D27</f>
        <v>1</v>
      </c>
    </row>
    <row r="28" customFormat="false" ht="15" hidden="false" customHeight="false" outlineLevel="0" collapsed="false">
      <c r="A28" s="0" t="n">
        <v>1350000</v>
      </c>
      <c r="B28" s="0" t="n">
        <v>16049525</v>
      </c>
      <c r="C28" s="1" t="n">
        <f aca="false">B28/(A28*LOG(A28))</f>
        <v>1.93929686147508</v>
      </c>
      <c r="D28" s="4" t="n">
        <f aca="false">$G$7*A28*LOG(A28)</f>
        <v>35090395.7855056</v>
      </c>
      <c r="I28" s="2" t="b">
        <f aca="false">B28&lt;D28</f>
        <v>1</v>
      </c>
    </row>
    <row r="29" customFormat="false" ht="15" hidden="false" customHeight="false" outlineLevel="0" collapsed="false">
      <c r="A29" s="0" t="n">
        <v>1400000</v>
      </c>
      <c r="B29" s="0" t="n">
        <v>17137179</v>
      </c>
      <c r="C29" s="1" t="n">
        <f aca="false">B29/(A29*LOG(A29))</f>
        <v>1.99163474496449</v>
      </c>
      <c r="D29" s="4" t="n">
        <f aca="false">$G$7*A29*LOG(A29)</f>
        <v>36483795.8198643</v>
      </c>
      <c r="I29" s="2" t="b">
        <f aca="false">B29&lt;D29</f>
        <v>1</v>
      </c>
    </row>
    <row r="30" customFormat="false" ht="15" hidden="false" customHeight="false" outlineLevel="0" collapsed="false">
      <c r="A30" s="0" t="n">
        <v>1450000</v>
      </c>
      <c r="B30" s="0" t="n">
        <v>18426480</v>
      </c>
      <c r="C30" s="1" t="n">
        <f aca="false">B30/(A30*LOG(A30))</f>
        <v>2.06251553823268</v>
      </c>
      <c r="D30" s="4" t="n">
        <f aca="false">$G$7*A30*LOG(A30)</f>
        <v>37880484.8174954</v>
      </c>
      <c r="I30" s="2" t="b">
        <f aca="false">B30&lt;D30</f>
        <v>1</v>
      </c>
    </row>
    <row r="31" customFormat="false" ht="15" hidden="false" customHeight="false" outlineLevel="0" collapsed="false">
      <c r="A31" s="0" t="n">
        <v>1500000</v>
      </c>
      <c r="B31" s="0" t="n">
        <v>19737001</v>
      </c>
      <c r="C31" s="1" t="n">
        <f aca="false">B31/(A31*LOG(A31))</f>
        <v>2.1304738085555</v>
      </c>
      <c r="D31" s="4" t="n">
        <f aca="false">$G$7*A31*LOG(A31)</f>
        <v>39280349.3200828</v>
      </c>
      <c r="I31" s="2" t="b">
        <f aca="false">B31&lt;D31</f>
        <v>1</v>
      </c>
    </row>
    <row r="32" customFormat="false" ht="15" hidden="false" customHeight="false" outlineLevel="0" collapsed="false">
      <c r="A32" s="0" t="n">
        <v>1550000</v>
      </c>
      <c r="B32" s="0" t="n">
        <v>20973733</v>
      </c>
      <c r="C32" s="1" t="n">
        <f aca="false">B32/(A32*LOG(A32))</f>
        <v>2.18589912543149</v>
      </c>
      <c r="D32" s="4" t="n">
        <f aca="false">$G$7*A32*LOG(A32)</f>
        <v>40683283.4375527</v>
      </c>
      <c r="I32" s="2" t="b">
        <f aca="false">B32&lt;D32</f>
        <v>1</v>
      </c>
    </row>
    <row r="33" customFormat="false" ht="15" hidden="false" customHeight="false" outlineLevel="0" collapsed="false">
      <c r="A33" s="0" t="n">
        <v>1600000</v>
      </c>
      <c r="B33" s="0" t="n">
        <v>22324118</v>
      </c>
      <c r="C33" s="1" t="n">
        <f aca="false">B33/(A33*LOG(A33))</f>
        <v>2.24892068319205</v>
      </c>
      <c r="D33" s="4" t="n">
        <f aca="false">$G$7*A33*LOG(A33)</f>
        <v>42089188.1151281</v>
      </c>
      <c r="I33" s="2" t="b">
        <f aca="false">B33&lt;D33</f>
        <v>1</v>
      </c>
    </row>
    <row r="34" customFormat="false" ht="15" hidden="false" customHeight="false" outlineLevel="0" collapsed="false">
      <c r="A34" s="0" t="n">
        <v>1650000</v>
      </c>
      <c r="B34" s="0" t="n">
        <v>23686429</v>
      </c>
      <c r="C34" s="1" t="n">
        <f aca="false">B34/(A34*LOG(A34))</f>
        <v>2.30887793904332</v>
      </c>
      <c r="D34" s="4" t="n">
        <f aca="false">$G$7*A34*LOG(A34)</f>
        <v>43497970.4920807</v>
      </c>
      <c r="I34" s="2" t="b">
        <f aca="false">B34&lt;D34</f>
        <v>1</v>
      </c>
    </row>
    <row r="35" customFormat="false" ht="15" hidden="false" customHeight="false" outlineLevel="0" collapsed="false">
      <c r="A35" s="0" t="n">
        <v>1700000</v>
      </c>
      <c r="B35" s="0" t="n">
        <v>25216691</v>
      </c>
      <c r="C35" s="1" t="n">
        <f aca="false">B35/(A35*LOG(A35))</f>
        <v>2.38078312401564</v>
      </c>
      <c r="D35" s="4" t="n">
        <f aca="false">$G$7*A35*LOG(A35)</f>
        <v>44909543.3382737</v>
      </c>
      <c r="I35" s="2" t="b">
        <f aca="false">B35&lt;D35</f>
        <v>1</v>
      </c>
    </row>
    <row r="36" customFormat="false" ht="15" hidden="false" customHeight="false" outlineLevel="0" collapsed="false">
      <c r="A36" s="0" t="n">
        <v>1750000</v>
      </c>
      <c r="B36" s="0" t="n">
        <v>26664100</v>
      </c>
      <c r="C36" s="1" t="n">
        <f aca="false">B36/(A36*LOG(A36))</f>
        <v>2.44057916235746</v>
      </c>
      <c r="D36" s="4" t="n">
        <f aca="false">$G$7*A36*LOG(A36)</f>
        <v>46323824.5570448</v>
      </c>
      <c r="I36" s="2" t="b">
        <f aca="false">B36&lt;D36</f>
        <v>1</v>
      </c>
    </row>
    <row r="37" customFormat="false" ht="15" hidden="false" customHeight="false" outlineLevel="0" collapsed="false">
      <c r="A37" s="0" t="n">
        <v>1800000</v>
      </c>
      <c r="B37" s="0" t="n">
        <v>28188793</v>
      </c>
      <c r="C37" s="1" t="n">
        <f aca="false">B37/(A37*LOG(A37))</f>
        <v>2.50355848490679</v>
      </c>
      <c r="D37" s="4" t="n">
        <f aca="false">$G$7*A37*LOG(A37)</f>
        <v>47740736.744943</v>
      </c>
      <c r="I37" s="2" t="b">
        <f aca="false">B37&lt;D37</f>
        <v>1</v>
      </c>
    </row>
    <row r="38" customFormat="false" ht="15" hidden="false" customHeight="false" outlineLevel="0" collapsed="false">
      <c r="A38" s="0" t="n">
        <v>1850000</v>
      </c>
      <c r="B38" s="0" t="n">
        <v>29836733</v>
      </c>
      <c r="C38" s="1" t="n">
        <f aca="false">B38/(A38*LOG(A38))</f>
        <v>2.57340383871904</v>
      </c>
      <c r="D38" s="4" t="n">
        <f aca="false">$G$7*A38*LOG(A38)</f>
        <v>49160206.8004175</v>
      </c>
      <c r="I38" s="2" t="b">
        <f aca="false">B38&lt;D38</f>
        <v>1</v>
      </c>
    </row>
    <row r="39" customFormat="false" ht="15" hidden="false" customHeight="false" outlineLevel="0" collapsed="false">
      <c r="A39" s="0" t="n">
        <v>1900000</v>
      </c>
      <c r="B39" s="0" t="n">
        <v>31554336</v>
      </c>
      <c r="C39" s="1" t="n">
        <f aca="false">B39/(A39*LOG(A39))</f>
        <v>2.64503854087181</v>
      </c>
      <c r="D39" s="4" t="n">
        <f aca="false">$G$7*A39*LOG(A39)</f>
        <v>50582165.5748378</v>
      </c>
      <c r="I39" s="2" t="b">
        <f aca="false">B39&lt;D39</f>
        <v>1</v>
      </c>
    </row>
    <row r="40" customFormat="false" ht="15" hidden="false" customHeight="false" outlineLevel="0" collapsed="false">
      <c r="A40" s="0" t="n">
        <v>1950000</v>
      </c>
      <c r="B40" s="0" t="n">
        <v>33515388</v>
      </c>
      <c r="C40" s="1" t="n">
        <f aca="false">B40/(A40*LOG(A40))</f>
        <v>2.73247756546373</v>
      </c>
      <c r="D40" s="4" t="n">
        <f aca="false">$G$7*A40*LOG(A40)</f>
        <v>52006547.5602705</v>
      </c>
      <c r="I40" s="2" t="b">
        <f aca="false">B40&lt;D40</f>
        <v>1</v>
      </c>
    </row>
    <row r="41" customFormat="false" ht="15" hidden="false" customHeight="false" outlineLevel="0" collapsed="false">
      <c r="A41" s="0" t="n">
        <v>2000000</v>
      </c>
      <c r="B41" s="0" t="n">
        <v>35286895</v>
      </c>
      <c r="C41" s="1" t="n">
        <f aca="false">B41/(A41*LOG(A41))</f>
        <v>2.80008943175024</v>
      </c>
      <c r="D41" s="4" t="n">
        <f aca="false">$G$7*A41*LOG(A41)</f>
        <v>53433290.6092981</v>
      </c>
      <c r="I41" s="2" t="b">
        <f aca="false">B41&lt;D41</f>
        <v>1</v>
      </c>
    </row>
    <row r="42" customFormat="false" ht="15" hidden="false" customHeight="false" outlineLevel="0" collapsed="false">
      <c r="A42" s="0" t="n">
        <v>2050000</v>
      </c>
      <c r="B42" s="0" t="n">
        <v>37031125</v>
      </c>
      <c r="C42" s="1" t="n">
        <f aca="false">B42/(A42*LOG(A42))</f>
        <v>2.86195625055832</v>
      </c>
      <c r="D42" s="4" t="n">
        <f aca="false">$G$7*A42*LOG(A42)</f>
        <v>54862335.6828708</v>
      </c>
      <c r="I42" s="2" t="b">
        <f aca="false">B42&lt;D42</f>
        <v>1</v>
      </c>
    </row>
    <row r="43" customFormat="false" ht="15" hidden="false" customHeight="false" outlineLevel="0" collapsed="false">
      <c r="A43" s="0" t="n">
        <v>2100000</v>
      </c>
      <c r="B43" s="0" t="n">
        <v>38850088</v>
      </c>
      <c r="C43" s="1" t="n">
        <f aca="false">B43/(A43*LOG(A43))</f>
        <v>2.92619427487615</v>
      </c>
      <c r="D43" s="4" t="n">
        <f aca="false">$G$7*A43*LOG(A43)</f>
        <v>56293626.6227713</v>
      </c>
      <c r="I43" s="2" t="b">
        <f aca="false">B43&lt;D43</f>
        <v>1</v>
      </c>
    </row>
    <row r="44" customFormat="false" ht="15" hidden="false" customHeight="false" outlineLevel="0" collapsed="false">
      <c r="A44" s="0" t="n">
        <v>2150000</v>
      </c>
      <c r="B44" s="0" t="n">
        <v>40607902</v>
      </c>
      <c r="C44" s="1" t="n">
        <f aca="false">B44/(A44*LOG(A44))</f>
        <v>2.98264189989799</v>
      </c>
      <c r="D44" s="4" t="n">
        <f aca="false">$G$7*A44*LOG(A44)</f>
        <v>57727109.9457605</v>
      </c>
      <c r="I44" s="2" t="b">
        <f aca="false">B44&lt;D44</f>
        <v>1</v>
      </c>
    </row>
    <row r="45" customFormat="false" ht="15" hidden="false" customHeight="false" outlineLevel="0" collapsed="false">
      <c r="A45" s="0" t="n">
        <v>2200000</v>
      </c>
      <c r="B45" s="0" t="n">
        <v>41977678</v>
      </c>
      <c r="C45" s="1" t="n">
        <f aca="false">B45/(A45*LOG(A45))</f>
        <v>3.00843442443025</v>
      </c>
      <c r="D45" s="4" t="n">
        <f aca="false">$G$7*A45*LOG(A45)</f>
        <v>59162734.6568807</v>
      </c>
      <c r="I45" s="2" t="b">
        <f aca="false">B45&lt;D45</f>
        <v>1</v>
      </c>
    </row>
    <row r="46" customFormat="false" ht="15" hidden="false" customHeight="false" outlineLevel="0" collapsed="false">
      <c r="A46" s="0" t="n">
        <v>2250000</v>
      </c>
      <c r="B46" s="0" t="n">
        <v>43897136</v>
      </c>
      <c r="C46" s="1" t="n">
        <f aca="false">B46/(A46*LOG(A46))</f>
        <v>3.07135983051427</v>
      </c>
      <c r="D46" s="4" t="n">
        <f aca="false">$G$7*A46*LOG(A46)</f>
        <v>60600452.0797402</v>
      </c>
      <c r="I46" s="2" t="b">
        <f aca="false">B46&lt;D46</f>
        <v>1</v>
      </c>
    </row>
    <row r="47" customFormat="false" ht="15" hidden="false" customHeight="false" outlineLevel="0" collapsed="false">
      <c r="A47" s="0" t="n">
        <v>2300000</v>
      </c>
      <c r="B47" s="0" t="n">
        <v>45915130</v>
      </c>
      <c r="C47" s="1" t="n">
        <f aca="false">B47/(A47*LOG(A47))</f>
        <v>3.13799969357017</v>
      </c>
      <c r="D47" s="4" t="n">
        <f aca="false">$G$7*A47*LOG(A47)</f>
        <v>62040215.7018892</v>
      </c>
      <c r="I47" s="2" t="b">
        <f aca="false">B47&lt;D47</f>
        <v>1</v>
      </c>
    </row>
    <row r="48" customFormat="false" ht="15" hidden="false" customHeight="false" outlineLevel="0" collapsed="false">
      <c r="A48" s="0" t="n">
        <v>2350000</v>
      </c>
      <c r="B48" s="0" t="n">
        <v>48486868</v>
      </c>
      <c r="C48" s="1" t="n">
        <f aca="false">B48/(A48*LOG(A48))</f>
        <v>3.23850102263344</v>
      </c>
      <c r="D48" s="4" t="n">
        <f aca="false">$G$7*A48*LOG(A48)</f>
        <v>63481981.0336471</v>
      </c>
      <c r="I48" s="2" t="b">
        <f aca="false">B48&lt;D48</f>
        <v>1</v>
      </c>
    </row>
    <row r="49" customFormat="false" ht="15" hidden="false" customHeight="false" outlineLevel="0" collapsed="false">
      <c r="A49" s="0" t="n">
        <v>2400000</v>
      </c>
      <c r="B49" s="0" t="n">
        <v>50025555</v>
      </c>
      <c r="C49" s="1" t="n">
        <f aca="false">B49/(A49*LOG(A49))</f>
        <v>3.26697353117861</v>
      </c>
      <c r="D49" s="4" t="n">
        <f aca="false">$G$7*A49*LOG(A49)</f>
        <v>64925705.4789492</v>
      </c>
      <c r="I49" s="2" t="b">
        <f aca="false">B49&lt;D49</f>
        <v>1</v>
      </c>
    </row>
    <row r="50" customFormat="false" ht="15" hidden="false" customHeight="false" outlineLevel="0" collapsed="false">
      <c r="A50" s="0" t="n">
        <v>2450000</v>
      </c>
      <c r="B50" s="0" t="n">
        <v>52597593</v>
      </c>
      <c r="C50" s="1" t="n">
        <f aca="false">B50/(A50*LOG(A50))</f>
        <v>3.3601263486732</v>
      </c>
      <c r="D50" s="4" t="n">
        <f aca="false">$G$7*A50*LOG(A50)</f>
        <v>66371348.2169607</v>
      </c>
      <c r="I50" s="2" t="b">
        <f aca="false">B50&lt;D50</f>
        <v>1</v>
      </c>
    </row>
    <row r="51" customFormat="false" ht="15" hidden="false" customHeight="false" outlineLevel="0" collapsed="false">
      <c r="A51" s="0" t="n">
        <v>2500000</v>
      </c>
      <c r="B51" s="0" t="n">
        <v>54781778</v>
      </c>
      <c r="C51" s="1" t="n">
        <f aca="false">B51/(A51*LOG(A51))</f>
        <v>3.42496353049553</v>
      </c>
      <c r="D51" s="4" t="n">
        <f aca="false">$G$7*A51*LOG(A51)</f>
        <v>67818870.0933576</v>
      </c>
      <c r="I51" s="2" t="b">
        <f aca="false">B51&lt;D51</f>
        <v>1</v>
      </c>
    </row>
    <row r="52" customFormat="false" ht="15" hidden="false" customHeight="false" outlineLevel="0" collapsed="false">
      <c r="A52" s="0" t="n">
        <v>2550000</v>
      </c>
      <c r="B52" s="0" t="n">
        <v>56322383</v>
      </c>
      <c r="C52" s="1" t="n">
        <f aca="false">B52/(A52*LOG(A52))</f>
        <v>3.44760329250159</v>
      </c>
      <c r="D52" s="4" t="n">
        <f aca="false">$G$7*A52*LOG(A52)</f>
        <v>69268233.5203088</v>
      </c>
      <c r="I52" s="2" t="b">
        <f aca="false">B52&lt;D52</f>
        <v>1</v>
      </c>
    </row>
    <row r="53" customFormat="false" ht="15" hidden="false" customHeight="false" outlineLevel="0" collapsed="false">
      <c r="A53" s="0" t="n">
        <v>2600000</v>
      </c>
      <c r="B53" s="0" t="n">
        <v>59230779</v>
      </c>
      <c r="C53" s="1" t="n">
        <f aca="false">B53/(A53*LOG(A53))</f>
        <v>3.55123359216449</v>
      </c>
      <c r="D53" s="4" t="n">
        <f aca="false">$G$7*A53*LOG(A53)</f>
        <v>70719402.3843047</v>
      </c>
      <c r="I53" s="2" t="b">
        <f aca="false">B53&lt;D53</f>
        <v>1</v>
      </c>
    </row>
    <row r="54" customFormat="false" ht="15" hidden="false" customHeight="false" outlineLevel="0" collapsed="false">
      <c r="A54" s="0" t="n">
        <v>2650000</v>
      </c>
      <c r="B54" s="0" t="n">
        <v>61798884</v>
      </c>
      <c r="C54" s="1" t="n">
        <f aca="false">B54/(A54*LOG(A54))</f>
        <v>3.63061511930145</v>
      </c>
      <c r="D54" s="4" t="n">
        <f aca="false">$G$7*A54*LOG(A54)</f>
        <v>72172341.9610793</v>
      </c>
      <c r="I54" s="2" t="b">
        <f aca="false">B54&lt;D54</f>
        <v>1</v>
      </c>
    </row>
    <row r="55" customFormat="false" ht="15" hidden="false" customHeight="false" outlineLevel="0" collapsed="false">
      <c r="A55" s="0" t="n">
        <v>2700000</v>
      </c>
      <c r="B55" s="0" t="n">
        <v>63047446</v>
      </c>
      <c r="C55" s="1" t="n">
        <f aca="false">B55/(A55*LOG(A55))</f>
        <v>3.63078606376722</v>
      </c>
      <c r="D55" s="4" t="n">
        <f aca="false">$G$7*A55*LOG(A55)</f>
        <v>73627018.8369537</v>
      </c>
      <c r="I55" s="2" t="b">
        <f aca="false">B55&lt;D55</f>
        <v>1</v>
      </c>
    </row>
    <row r="56" customFormat="false" ht="15" hidden="false" customHeight="false" outlineLevel="0" collapsed="false">
      <c r="A56" s="0" t="n">
        <v>2750000</v>
      </c>
      <c r="B56" s="0" t="n">
        <v>66342780</v>
      </c>
      <c r="C56" s="1" t="n">
        <f aca="false">B56/(A56*LOG(A56))</f>
        <v>3.74645144454827</v>
      </c>
      <c r="D56" s="4" t="n">
        <f aca="false">$G$7*A56*LOG(A56)</f>
        <v>75083400.8360093</v>
      </c>
      <c r="I56" s="2" t="b">
        <f aca="false">B56&lt;D56</f>
        <v>1</v>
      </c>
    </row>
    <row r="57" customFormat="false" ht="15" hidden="false" customHeight="false" outlineLevel="0" collapsed="false">
      <c r="A57" s="0" t="n">
        <v>2800000</v>
      </c>
      <c r="B57" s="0" t="n">
        <v>67859624</v>
      </c>
      <c r="C57" s="1" t="n">
        <f aca="false">B57/(A57*LOG(A57))</f>
        <v>3.75911058518825</v>
      </c>
      <c r="D57" s="4" t="n">
        <f aca="false">$G$7*A57*LOG(A57)</f>
        <v>76541456.9525579</v>
      </c>
      <c r="I57" s="2" t="b">
        <f aca="false">B57&lt;D57</f>
        <v>1</v>
      </c>
    </row>
    <row r="58" customFormat="false" ht="15" hidden="false" customHeight="false" outlineLevel="0" collapsed="false">
      <c r="A58" s="0" t="n">
        <v>2850000</v>
      </c>
      <c r="B58" s="0" t="n">
        <v>71205014</v>
      </c>
      <c r="C58" s="1" t="n">
        <f aca="false">B58/(A58*LOG(A58))</f>
        <v>3.87061439592269</v>
      </c>
      <c r="D58" s="4" t="n">
        <f aca="false">$G$7*A58*LOG(A58)</f>
        <v>78001157.288437</v>
      </c>
      <c r="I58" s="2" t="b">
        <f aca="false">B58&lt;D58</f>
        <v>1</v>
      </c>
    </row>
    <row r="59" customFormat="false" ht="15" hidden="false" customHeight="false" outlineLevel="0" collapsed="false">
      <c r="A59" s="0" t="n">
        <v>2900000</v>
      </c>
      <c r="B59" s="0" t="n">
        <v>72989556</v>
      </c>
      <c r="C59" s="1" t="n">
        <f aca="false">B59/(A59*LOG(A59))</f>
        <v>3.8946552691394</v>
      </c>
      <c r="D59" s="4" t="n">
        <f aca="false">$G$7*A59*LOG(A59)</f>
        <v>79462472.994707</v>
      </c>
      <c r="I59" s="2" t="n">
        <f aca="false">B59&lt;D59</f>
        <v>1</v>
      </c>
    </row>
    <row r="60" customFormat="false" ht="15" hidden="false" customHeight="false" outlineLevel="0" collapsed="false">
      <c r="A60" s="0" t="n">
        <v>2950000</v>
      </c>
      <c r="B60" s="0" t="n">
        <v>76008301</v>
      </c>
      <c r="C60" s="1" t="n">
        <f aca="false">B60/(A60*LOG(A60))</f>
        <v>3.98241647128471</v>
      </c>
      <c r="D60" s="4" t="n">
        <f aca="false">$G$7*A60*LOG(A60)</f>
        <v>80925376.2173697</v>
      </c>
      <c r="I60" s="2" t="n">
        <f aca="false">B60&lt;D60</f>
        <v>1</v>
      </c>
    </row>
    <row r="61" customFormat="false" ht="15" hidden="false" customHeight="false" outlineLevel="0" collapsed="false">
      <c r="A61" s="0" t="n">
        <v>3000000</v>
      </c>
      <c r="B61" s="0" t="n">
        <v>79149260</v>
      </c>
      <c r="C61" s="1" t="n">
        <f aca="false">B61/(A61*LOG(A61))</f>
        <v>4.07327354686192</v>
      </c>
      <c r="D61" s="4" t="n">
        <f aca="false">$G$7*A61*LOG(A61)</f>
        <v>82389840.0467685</v>
      </c>
      <c r="I61" s="2" t="n">
        <f aca="false">B61&lt;D61</f>
        <v>1</v>
      </c>
    </row>
    <row r="62" customFormat="false" ht="15" hidden="false" customHeight="false" outlineLevel="0" collapsed="false">
      <c r="A62" s="0" t="n">
        <v>3050000</v>
      </c>
      <c r="B62" s="0" t="n">
        <v>81306060</v>
      </c>
      <c r="C62" s="1" t="n">
        <f aca="false">B62/(A62*LOG(A62))</f>
        <v>4.11111843231009</v>
      </c>
      <c r="D62" s="4" t="n">
        <f aca="false">$G$7*A62*LOG(A62)</f>
        <v>83855838.4703619</v>
      </c>
      <c r="I62" s="2" t="n">
        <f aca="false">B62&lt;D62</f>
        <v>1</v>
      </c>
    </row>
    <row r="63" customFormat="false" ht="15" hidden="false" customHeight="false" outlineLevel="0" collapsed="false">
      <c r="A63" s="0" t="n">
        <v>3100000</v>
      </c>
      <c r="B63" s="0" t="n">
        <v>82997379</v>
      </c>
      <c r="C63" s="1" t="n">
        <f aca="false">B63/(A63*LOG(A63))</f>
        <v>4.12445790687436</v>
      </c>
      <c r="D63" s="4" t="n">
        <f aca="false">$G$7*A63*LOG(A63)</f>
        <v>85323346.3285951</v>
      </c>
      <c r="I63" s="2" t="n">
        <f aca="false">B63&lt;D63</f>
        <v>1</v>
      </c>
    </row>
    <row r="64" customFormat="false" ht="15" hidden="false" customHeight="false" outlineLevel="0" collapsed="false">
      <c r="A64" s="0" t="n">
        <v>3150000</v>
      </c>
      <c r="B64" s="0" t="n">
        <v>85732796</v>
      </c>
      <c r="C64" s="1" t="n">
        <f aca="false">B64/(A64*LOG(A64))</f>
        <v>4.18828254045949</v>
      </c>
      <c r="D64" s="4" t="n">
        <f aca="false">$G$7*A64*LOG(A64)</f>
        <v>86792339.2736194</v>
      </c>
      <c r="I64" s="2" t="n">
        <f aca="false">B64&lt;D64</f>
        <v>1</v>
      </c>
    </row>
    <row r="65" customFormat="false" ht="15" hidden="false" customHeight="false" outlineLevel="0" collapsed="false">
      <c r="A65" s="0" t="n">
        <v>3200000</v>
      </c>
      <c r="B65" s="0" t="n">
        <v>89373517</v>
      </c>
      <c r="C65" s="1" t="n">
        <f aca="false">B65/(A65*LOG(A65))</f>
        <v>4.29340202079604</v>
      </c>
      <c r="D65" s="4" t="n">
        <f aca="false">$G$7*A65*LOG(A65)</f>
        <v>88262793.7306326</v>
      </c>
      <c r="I65" s="2" t="n">
        <f aca="false">B65&lt;D65</f>
        <v>0</v>
      </c>
    </row>
    <row r="66" customFormat="false" ht="15" hidden="false" customHeight="false" outlineLevel="0" collapsed="false">
      <c r="A66" s="0" t="n">
        <v>3250000</v>
      </c>
      <c r="B66" s="0" t="n">
        <v>92577043</v>
      </c>
      <c r="C66" s="1" t="n">
        <f aca="false">B66/(A66*LOG(A66))</f>
        <v>4.37434800670602</v>
      </c>
      <c r="D66" s="4" t="n">
        <f aca="false">$G$7*A66*LOG(A66)</f>
        <v>89734686.8616364</v>
      </c>
      <c r="I66" s="2" t="n">
        <f aca="false">B66&lt;D66</f>
        <v>0</v>
      </c>
    </row>
    <row r="67" customFormat="false" ht="15" hidden="false" customHeight="false" outlineLevel="0" collapsed="false">
      <c r="A67" s="0" t="n">
        <v>3300000</v>
      </c>
      <c r="B67" s="0" t="n">
        <v>95253437</v>
      </c>
      <c r="C67" s="1" t="n">
        <f aca="false">B67/(A67*LOG(A67))</f>
        <v>4.42810710309359</v>
      </c>
      <c r="D67" s="4" t="n">
        <f aca="false">$G$7*A67*LOG(A67)</f>
        <v>91207996.5314245</v>
      </c>
      <c r="I67" s="2" t="n">
        <f aca="false">B67&lt;D67</f>
        <v>0</v>
      </c>
    </row>
    <row r="68" customFormat="false" ht="15" hidden="false" customHeight="false" outlineLevel="0" collapsed="false">
      <c r="A68" s="0" t="n">
        <v>3350000</v>
      </c>
      <c r="B68" s="0" t="n">
        <v>97257408</v>
      </c>
      <c r="C68" s="1" t="n">
        <f aca="false">B68/(A68*LOG(A68))</f>
        <v>4.44932762120545</v>
      </c>
      <c r="D68" s="4" t="n">
        <f aca="false">$G$7*A68*LOG(A68)</f>
        <v>92682701.275633</v>
      </c>
      <c r="I68" s="2" t="n">
        <f aca="false">B68&lt;D68</f>
        <v>0</v>
      </c>
    </row>
    <row r="69" customFormat="false" ht="15" hidden="false" customHeight="false" outlineLevel="0" collapsed="false">
      <c r="A69" s="0" t="n">
        <v>3400000</v>
      </c>
      <c r="B69" s="0" t="n">
        <v>100725703</v>
      </c>
      <c r="C69" s="1" t="n">
        <f aca="false">B69/(A69*LOG(A69))</f>
        <v>4.5357578491766</v>
      </c>
      <c r="D69" s="4" t="n">
        <f aca="false">$G$7*A69*LOG(A69)</f>
        <v>94158780.2706974</v>
      </c>
      <c r="I69" s="2" t="n">
        <f aca="false">B69&lt;D69</f>
        <v>0</v>
      </c>
    </row>
    <row r="70" customFormat="false" ht="15" hidden="false" customHeight="false" outlineLevel="0" collapsed="false">
      <c r="A70" s="0" t="n">
        <v>3450000</v>
      </c>
      <c r="B70" s="0" t="n">
        <v>104194791</v>
      </c>
      <c r="C70" s="1" t="n">
        <f aca="false">B70/(A70*LOG(A70))</f>
        <v>4.6194898109694</v>
      </c>
      <c r="D70" s="4" t="n">
        <f aca="false">$G$7*A70*LOG(A70)</f>
        <v>95636213.3055784</v>
      </c>
      <c r="I70" s="2" t="n">
        <f aca="false">B70&lt;D70</f>
        <v>0</v>
      </c>
    </row>
    <row r="71" customFormat="false" ht="15" hidden="false" customHeight="false" outlineLevel="0" collapsed="false">
      <c r="A71" s="0" t="n">
        <v>3500000</v>
      </c>
      <c r="B71" s="0" t="n">
        <v>107398690</v>
      </c>
      <c r="C71" s="1" t="n">
        <f aca="false">B71/(A71*LOG(A71))</f>
        <v>4.68903131691788</v>
      </c>
      <c r="D71" s="4" t="n">
        <f aca="false">$G$7*A71*LOG(A71)</f>
        <v>97114980.7551264</v>
      </c>
      <c r="I71" s="2" t="n">
        <f aca="false">B71&lt;D71</f>
        <v>0</v>
      </c>
    </row>
    <row r="72" customFormat="false" ht="15" hidden="false" customHeight="false" outlineLevel="0" collapsed="false">
      <c r="A72" s="0" t="n">
        <v>3550000</v>
      </c>
      <c r="B72" s="0" t="n">
        <v>110291803</v>
      </c>
      <c r="C72" s="1" t="n">
        <f aca="false">B72/(A72*LOG(A72))</f>
        <v>4.74305808081275</v>
      </c>
      <c r="D72" s="4" t="n">
        <f aca="false">$G$7*A72*LOG(A72)</f>
        <v>98595063.5549682</v>
      </c>
      <c r="I72" s="2" t="n">
        <f aca="false">B72&lt;D72</f>
        <v>0</v>
      </c>
    </row>
    <row r="73" customFormat="false" ht="15" hidden="false" customHeight="false" outlineLevel="0" collapsed="false">
      <c r="A73" s="0" t="n">
        <v>3600000</v>
      </c>
      <c r="B73" s="0" t="n">
        <v>113245403</v>
      </c>
      <c r="C73" s="1" t="n">
        <f aca="false">B73/(A73*LOG(A73))</f>
        <v>4.79798733893188</v>
      </c>
      <c r="D73" s="4" t="n">
        <f aca="false">$G$7*A73*LOG(A73)</f>
        <v>100076443.177809</v>
      </c>
      <c r="I73" s="2" t="n">
        <f aca="false">B73&lt;D73</f>
        <v>0</v>
      </c>
    </row>
    <row r="74" customFormat="false" ht="15" hidden="false" customHeight="false" outlineLevel="0" collapsed="false">
      <c r="A74" s="0" t="n">
        <v>3650000</v>
      </c>
      <c r="B74" s="0" t="n">
        <v>116747276</v>
      </c>
      <c r="C74" s="1" t="n">
        <f aca="false">B74/(A74*LOG(A74))</f>
        <v>4.87414318884447</v>
      </c>
      <c r="D74" s="4" t="n">
        <f aca="false">$G$7*A74*LOG(A74)</f>
        <v>101559101.611053</v>
      </c>
      <c r="I74" s="2" t="n">
        <f aca="false">B74&lt;D74</f>
        <v>0</v>
      </c>
    </row>
    <row r="75" customFormat="false" ht="15" hidden="false" customHeight="false" outlineLevel="0" collapsed="false">
      <c r="A75" s="0" t="n">
        <v>3700000</v>
      </c>
      <c r="B75" s="0" t="n">
        <v>118890119</v>
      </c>
      <c r="C75" s="1" t="n">
        <f aca="false">B75/(A75*LOG(A75))</f>
        <v>4.89212511193983</v>
      </c>
      <c r="D75" s="4" t="n">
        <f aca="false">$G$7*A75*LOG(A75)</f>
        <v>103043021.335645</v>
      </c>
      <c r="I75" s="2" t="n">
        <f aca="false">B75&lt;D75</f>
        <v>0</v>
      </c>
    </row>
    <row r="76" customFormat="false" ht="15" hidden="false" customHeight="false" outlineLevel="0" collapsed="false">
      <c r="A76" s="0" t="n">
        <v>3750000</v>
      </c>
      <c r="B76" s="0" t="n">
        <v>123072026</v>
      </c>
      <c r="C76" s="1" t="n">
        <f aca="false">B76/(A76*LOG(A76))</f>
        <v>4.99224989915163</v>
      </c>
      <c r="D76" s="4" t="n">
        <f aca="false">$G$7*A76*LOG(A76)</f>
        <v>104528185.306063</v>
      </c>
      <c r="I76" s="2" t="n">
        <f aca="false">B76&lt;D76</f>
        <v>0</v>
      </c>
    </row>
    <row r="77" customFormat="false" ht="15" hidden="false" customHeight="false" outlineLevel="0" collapsed="false">
      <c r="A77" s="0" t="n">
        <v>3800000</v>
      </c>
      <c r="B77" s="0" t="n">
        <v>125099748</v>
      </c>
      <c r="C77" s="1" t="n">
        <f aca="false">B77/(A77*LOG(A77))</f>
        <v>5.00335396026045</v>
      </c>
      <c r="D77" s="4" t="n">
        <f aca="false">$G$7*A77*LOG(A77)</f>
        <v>106014576.931373</v>
      </c>
      <c r="I77" s="2" t="n">
        <f aca="false">B77&lt;D77</f>
        <v>0</v>
      </c>
    </row>
    <row r="78" customFormat="false" ht="15" hidden="false" customHeight="false" outlineLevel="0" collapsed="false">
      <c r="A78" s="0" t="n">
        <v>3850000</v>
      </c>
      <c r="B78" s="0" t="n">
        <v>129488201</v>
      </c>
      <c r="C78" s="1" t="n">
        <f aca="false">B78/(A78*LOG(A78))</f>
        <v>5.10720515124067</v>
      </c>
      <c r="D78" s="4" t="n">
        <f aca="false">$G$7*A78*LOG(A78)</f>
        <v>107502180.057281</v>
      </c>
      <c r="I78" s="2" t="n">
        <f aca="false">B78&lt;D78</f>
        <v>0</v>
      </c>
    </row>
    <row r="79" customFormat="false" ht="15" hidden="false" customHeight="false" outlineLevel="0" collapsed="false">
      <c r="A79" s="0" t="n">
        <v>3900000</v>
      </c>
      <c r="B79" s="0" t="n">
        <v>132176308</v>
      </c>
      <c r="C79" s="1" t="n">
        <f aca="false">B79/(A79*LOG(A79))</f>
        <v>5.14201620623027</v>
      </c>
      <c r="D79" s="4" t="n">
        <f aca="false">$G$7*A79*LOG(A79)</f>
        <v>108990978.949125</v>
      </c>
      <c r="I79" s="2" t="n">
        <f aca="false">B79&lt;D79</f>
        <v>0</v>
      </c>
    </row>
    <row r="80" customFormat="false" ht="15" hidden="false" customHeight="false" outlineLevel="0" collapsed="false">
      <c r="A80" s="0" t="n">
        <v>3950000</v>
      </c>
      <c r="B80" s="0" t="n">
        <v>136428238</v>
      </c>
      <c r="C80" s="1" t="n">
        <f aca="false">B80/(A80*LOG(A80))</f>
        <v>5.23585023151997</v>
      </c>
      <c r="D80" s="4" t="n">
        <f aca="false">$G$7*A80*LOG(A80)</f>
        <v>110480958.275725</v>
      </c>
      <c r="I80" s="2" t="n">
        <f aca="false">B80&lt;D80</f>
        <v>0</v>
      </c>
    </row>
    <row r="81" customFormat="false" ht="15" hidden="false" customHeight="false" outlineLevel="0" collapsed="false">
      <c r="A81" s="0" t="n">
        <v>4000000</v>
      </c>
      <c r="B81" s="0" t="n">
        <v>139884379</v>
      </c>
      <c r="C81" s="1" t="n">
        <f aca="false">B81/(A81*LOG(A81))</f>
        <v>5.29699742140116</v>
      </c>
      <c r="D81" s="4" t="n">
        <f aca="false">$G$7*A81*LOG(A81)</f>
        <v>111972103.094067</v>
      </c>
      <c r="I81" s="2" t="n">
        <f aca="false">B81&lt;D81</f>
        <v>0</v>
      </c>
    </row>
    <row r="82" customFormat="false" ht="15" hidden="false" customHeight="false" outlineLevel="0" collapsed="false">
      <c r="A82" s="0" t="n">
        <v>4050000</v>
      </c>
      <c r="B82" s="0" t="n">
        <v>143410503</v>
      </c>
      <c r="C82" s="1" t="n">
        <f aca="false">B82/(A82*LOG(A82))</f>
        <v>5.35909826345107</v>
      </c>
      <c r="D82" s="4" t="n">
        <f aca="false">$G$7*A82*LOG(A82)</f>
        <v>113464398.834739</v>
      </c>
      <c r="I82" s="2" t="n">
        <f aca="false">B82&lt;D82</f>
        <v>0</v>
      </c>
    </row>
    <row r="83" customFormat="false" ht="15" hidden="false" customHeight="false" outlineLevel="0" collapsed="false">
      <c r="A83" s="0" t="n">
        <v>4100000</v>
      </c>
      <c r="B83" s="0" t="n">
        <v>146656749</v>
      </c>
      <c r="C83" s="1" t="n">
        <f aca="false">B83/(A83*LOG(A83))</f>
        <v>5.40921033493925</v>
      </c>
      <c r="D83" s="4" t="n">
        <f aca="false">$G$7*A83*LOG(A83)</f>
        <v>114957831.288099</v>
      </c>
      <c r="I83" s="2" t="n">
        <f aca="false">B83&lt;D83</f>
        <v>0</v>
      </c>
    </row>
    <row r="84" customFormat="false" ht="15" hidden="false" customHeight="false" outlineLevel="0" collapsed="false">
      <c r="A84" s="0" t="n">
        <v>4150000</v>
      </c>
      <c r="B84" s="0" t="n">
        <v>148903768</v>
      </c>
      <c r="C84" s="1" t="n">
        <f aca="false">B84/(A84*LOG(A84))</f>
        <v>5.42160248758575</v>
      </c>
      <c r="D84" s="4" t="n">
        <f aca="false">$G$7*A84*LOG(A84)</f>
        <v>116452386.591104</v>
      </c>
      <c r="I84" s="2" t="n">
        <f aca="false">B84&lt;D84</f>
        <v>0</v>
      </c>
    </row>
    <row r="85" customFormat="false" ht="15" hidden="false" customHeight="false" outlineLevel="0" collapsed="false">
      <c r="A85" s="0" t="n">
        <v>4200000</v>
      </c>
      <c r="B85" s="0" t="n">
        <v>153313909</v>
      </c>
      <c r="C85" s="1" t="n">
        <f aca="false">B85/(A85*LOG(A85))</f>
        <v>5.51139026573975</v>
      </c>
      <c r="D85" s="4" t="n">
        <f aca="false">$G$7*A85*LOG(A85)</f>
        <v>117948051.214787</v>
      </c>
      <c r="I85" s="2" t="n">
        <f aca="false">B85&lt;D85</f>
        <v>0</v>
      </c>
    </row>
    <row r="86" customFormat="false" ht="15" hidden="false" customHeight="false" outlineLevel="0" collapsed="false">
      <c r="A86" s="0" t="n">
        <v>4250000</v>
      </c>
      <c r="B86" s="0" t="n">
        <v>157391899</v>
      </c>
      <c r="C86" s="1" t="n">
        <f aca="false">B86/(A86*LOG(A86))</f>
        <v>5.58708735875565</v>
      </c>
      <c r="D86" s="4" t="n">
        <f aca="false">$G$7*A86*LOG(A86)</f>
        <v>119444811.952321</v>
      </c>
      <c r="I86" s="2" t="n">
        <f aca="false">B86&lt;D86</f>
        <v>0</v>
      </c>
    </row>
    <row r="87" customFormat="false" ht="15" hidden="false" customHeight="false" outlineLevel="0" collapsed="false">
      <c r="A87" s="0" t="n">
        <v>4300000</v>
      </c>
      <c r="B87" s="0" t="n">
        <v>161617800</v>
      </c>
      <c r="C87" s="1" t="n">
        <f aca="false">B87/(A87*LOG(A87))</f>
        <v>5.66604561933309</v>
      </c>
      <c r="D87" s="4" t="n">
        <f aca="false">$G$7*A87*LOG(A87)</f>
        <v>120942655.907652</v>
      </c>
      <c r="I87" s="2" t="n">
        <f aca="false">B87&lt;D87</f>
        <v>0</v>
      </c>
    </row>
    <row r="88" customFormat="false" ht="15" hidden="false" customHeight="false" outlineLevel="0" collapsed="false">
      <c r="A88" s="0" t="n">
        <v>4350000</v>
      </c>
      <c r="B88" s="0" t="n">
        <v>165582527</v>
      </c>
      <c r="C88" s="1" t="n">
        <f aca="false">B88/(A88*LOG(A88))</f>
        <v>5.73397760578651</v>
      </c>
      <c r="D88" s="4" t="n">
        <f aca="false">$G$7*A88*LOG(A88)</f>
        <v>122441570.484651</v>
      </c>
      <c r="I88" s="2" t="n">
        <f aca="false">B88&lt;D88</f>
        <v>0</v>
      </c>
    </row>
    <row r="89" customFormat="false" ht="15" hidden="false" customHeight="false" outlineLevel="0" collapsed="false">
      <c r="A89" s="0" t="n">
        <v>4400000</v>
      </c>
      <c r="B89" s="0" t="n">
        <v>168450059</v>
      </c>
      <c r="C89" s="1" t="n">
        <f aca="false">B89/(A89*LOG(A89))</f>
        <v>5.76268187379199</v>
      </c>
      <c r="D89" s="4" t="n">
        <f aca="false">$G$7*A89*LOG(A89)</f>
        <v>123941543.376779</v>
      </c>
      <c r="I89" s="2" t="n">
        <f aca="false">B89&lt;D89</f>
        <v>0</v>
      </c>
    </row>
    <row r="90" customFormat="false" ht="15" hidden="false" customHeight="false" outlineLevel="0" collapsed="false">
      <c r="A90" s="0" t="n">
        <v>4450000</v>
      </c>
      <c r="B90" s="0" t="n">
        <v>171229639</v>
      </c>
      <c r="C90" s="1" t="n">
        <f aca="false">B90/(A90*LOG(A90))</f>
        <v>5.78767854000741</v>
      </c>
      <c r="D90" s="4" t="n">
        <f aca="false">$G$7*A90*LOG(A90)</f>
        <v>125442562.557205</v>
      </c>
      <c r="I90" s="2" t="n">
        <f aca="false">B90&lt;D90</f>
        <v>0</v>
      </c>
    </row>
    <row r="91" customFormat="false" ht="15" hidden="false" customHeight="false" outlineLevel="0" collapsed="false">
      <c r="A91" s="0" t="n">
        <v>4500000</v>
      </c>
      <c r="B91" s="0" t="n">
        <v>176400130</v>
      </c>
      <c r="C91" s="1" t="n">
        <f aca="false">B91/(A91*LOG(A91))</f>
        <v>5.89189490155711</v>
      </c>
      <c r="D91" s="4" t="n">
        <f aca="false">$G$7*A91*LOG(A91)</f>
        <v>126944616.269385</v>
      </c>
      <c r="I91" s="2" t="n">
        <f aca="false">B91&lt;D91</f>
        <v>0</v>
      </c>
    </row>
    <row r="92" customFormat="false" ht="15" hidden="false" customHeight="false" outlineLevel="0" collapsed="false">
      <c r="A92" s="0" t="n">
        <v>4550000</v>
      </c>
      <c r="B92" s="0" t="n">
        <v>179378624</v>
      </c>
      <c r="C92" s="1" t="n">
        <f aca="false">B92/(A92*LOG(A92))</f>
        <v>5.92126853768793</v>
      </c>
      <c r="D92" s="4" t="n">
        <f aca="false">$G$7*A92*LOG(A92)</f>
        <v>128447693.018044</v>
      </c>
      <c r="I92" s="2" t="n">
        <f aca="false">B92&lt;D92</f>
        <v>0</v>
      </c>
    </row>
    <row r="93" customFormat="false" ht="15" hidden="false" customHeight="false" outlineLevel="0" collapsed="false">
      <c r="A93" s="0" t="n">
        <v>4600000</v>
      </c>
      <c r="B93" s="0" t="n">
        <v>182564068</v>
      </c>
      <c r="C93" s="1" t="n">
        <f aca="false">B93/(A93*LOG(A93))</f>
        <v>5.95666867567189</v>
      </c>
      <c r="D93" s="4" t="n">
        <f aca="false">$G$7*A93*LOG(A93)</f>
        <v>129951781.56057</v>
      </c>
      <c r="I93" s="2" t="n">
        <f aca="false">B93&lt;D93</f>
        <v>0</v>
      </c>
    </row>
    <row r="94" customFormat="false" ht="15" hidden="false" customHeight="false" outlineLevel="0" collapsed="false">
      <c r="A94" s="0" t="n">
        <v>4650000</v>
      </c>
      <c r="B94" s="0" t="n">
        <v>186794937</v>
      </c>
      <c r="C94" s="1" t="n">
        <f aca="false">B94/(A94*LOG(A94))</f>
        <v>6.02493253081548</v>
      </c>
      <c r="D94" s="4" t="n">
        <f aca="false">$G$7*A94*LOG(A94)</f>
        <v>131456870.898766</v>
      </c>
      <c r="I94" s="2" t="n">
        <f aca="false">B94&lt;D94</f>
        <v>0</v>
      </c>
    </row>
    <row r="95" customFormat="false" ht="15" hidden="false" customHeight="false" outlineLevel="0" collapsed="false">
      <c r="A95" s="0" t="n">
        <v>4700000</v>
      </c>
      <c r="B95" s="0" t="n">
        <v>192140051</v>
      </c>
      <c r="C95" s="1" t="n">
        <f aca="false">B95/(A95*LOG(A95))</f>
        <v>6.12713763876685</v>
      </c>
      <c r="D95" s="4" t="n">
        <f aca="false">$G$7*A95*LOG(A95)</f>
        <v>132962950.270972</v>
      </c>
      <c r="I95" s="2" t="n">
        <f aca="false">B95&lt;D95</f>
        <v>0</v>
      </c>
    </row>
    <row r="96" customFormat="false" ht="15" hidden="false" customHeight="false" outlineLevel="0" collapsed="false">
      <c r="A96" s="0" t="n">
        <v>4750000</v>
      </c>
      <c r="B96" s="0" t="n">
        <v>196939653</v>
      </c>
      <c r="C96" s="1" t="n">
        <f aca="false">B96/(A96*LOG(A96))</f>
        <v>6.20980712956168</v>
      </c>
      <c r="D96" s="4" t="n">
        <f aca="false">$G$7*A96*LOG(A96)</f>
        <v>134470009.144512</v>
      </c>
      <c r="I96" s="2" t="n">
        <f aca="false">B96&lt;D96</f>
        <v>0</v>
      </c>
    </row>
    <row r="97" customFormat="false" ht="15" hidden="false" customHeight="false" outlineLevel="0" collapsed="false">
      <c r="A97" s="0" t="n">
        <v>4800000</v>
      </c>
      <c r="B97" s="0" t="n">
        <v>198830834</v>
      </c>
      <c r="C97" s="1" t="n">
        <f aca="false">B97/(A97*LOG(A97))</f>
        <v>6.19990940978772</v>
      </c>
      <c r="D97" s="4" t="n">
        <f aca="false">$G$7*A97*LOG(A97)</f>
        <v>135978037.208463</v>
      </c>
      <c r="I97" s="2" t="n">
        <f aca="false">B97&lt;D97</f>
        <v>0</v>
      </c>
    </row>
    <row r="98" customFormat="false" ht="15" hidden="false" customHeight="false" outlineLevel="0" collapsed="false">
      <c r="A98" s="0" t="n">
        <v>4850000</v>
      </c>
      <c r="B98" s="0" t="n">
        <v>203998486</v>
      </c>
      <c r="C98" s="1" t="n">
        <f aca="false">B98/(A98*LOG(A98))</f>
        <v>6.29123067412235</v>
      </c>
      <c r="D98" s="4" t="n">
        <f aca="false">$G$7*A98*LOG(A98)</f>
        <v>137487024.366724</v>
      </c>
      <c r="I98" s="2" t="n">
        <f aca="false">B98&lt;D98</f>
        <v>0</v>
      </c>
    </row>
    <row r="99" customFormat="false" ht="15" hidden="false" customHeight="false" outlineLevel="0" collapsed="false">
      <c r="A99" s="0" t="n">
        <v>4900000</v>
      </c>
      <c r="B99" s="0" t="n">
        <v>209431875</v>
      </c>
      <c r="C99" s="1" t="n">
        <f aca="false">B99/(A99*LOG(A99))</f>
        <v>6.38863173340798</v>
      </c>
      <c r="D99" s="4" t="n">
        <f aca="false">$G$7*A99*LOG(A99)</f>
        <v>138996960.731373</v>
      </c>
      <c r="I99" s="2" t="n">
        <f aca="false">B99&lt;D99</f>
        <v>0</v>
      </c>
    </row>
    <row r="100" customFormat="false" ht="15" hidden="false" customHeight="false" outlineLevel="0" collapsed="false">
      <c r="A100" s="0" t="n">
        <v>4950000</v>
      </c>
      <c r="B100" s="0" t="n">
        <v>213999168</v>
      </c>
      <c r="C100" s="1" t="n">
        <f aca="false">B100/(A100*LOG(A100))</f>
        <v>6.45776022137973</v>
      </c>
      <c r="D100" s="4" t="n">
        <f aca="false">$G$7*A100*LOG(A100)</f>
        <v>140507836.616292</v>
      </c>
      <c r="I100" s="2" t="n">
        <f aca="false">B100&lt;D100</f>
        <v>0</v>
      </c>
    </row>
    <row r="101" customFormat="false" ht="15" hidden="false" customHeight="false" outlineLevel="0" collapsed="false">
      <c r="A101" s="0" t="n">
        <v>5000000</v>
      </c>
      <c r="B101" s="0" t="n">
        <v>218384616</v>
      </c>
      <c r="C101" s="1" t="n">
        <f aca="false">B101/(A101*LOG(A101))</f>
        <v>6.5199460770431</v>
      </c>
      <c r="D101" s="4" t="n">
        <f aca="false">$G$7*A101*LOG(A101)</f>
        <v>142019642.531053</v>
      </c>
      <c r="I101" s="2" t="n">
        <f aca="false">B101&lt;D101</f>
        <v>0</v>
      </c>
    </row>
    <row r="102" customFormat="false" ht="15" hidden="false" customHeight="false" outlineLevel="0" collapsed="false">
      <c r="A102" s="0" t="n">
        <v>5050000</v>
      </c>
      <c r="B102" s="0" t="n">
        <v>222155890</v>
      </c>
      <c r="C102" s="1" t="n">
        <f aca="false">B102/(A102*LOG(A102))</f>
        <v>6.56263660119772</v>
      </c>
      <c r="D102" s="4" t="n">
        <f aca="false">$G$7*A102*LOG(A102)</f>
        <v>143532369.175047</v>
      </c>
      <c r="I102" s="2" t="n">
        <f aca="false">B102&lt;D102</f>
        <v>0</v>
      </c>
    </row>
    <row r="103" customFormat="false" ht="15" hidden="false" customHeight="false" outlineLevel="0" collapsed="false">
      <c r="A103" s="0" t="n">
        <v>5100000</v>
      </c>
      <c r="B103" s="0" t="n">
        <v>226307487</v>
      </c>
      <c r="C103" s="1" t="n">
        <f aca="false">B103/(A103*LOG(A103))</f>
        <v>6.61551290465032</v>
      </c>
      <c r="D103" s="4" t="n">
        <f aca="false">$G$7*A103*LOG(A103)</f>
        <v>145046007.431842</v>
      </c>
      <c r="I103" s="2" t="n">
        <f aca="false">B103&lt;D103</f>
        <v>0</v>
      </c>
    </row>
    <row r="104" customFormat="false" ht="15" hidden="false" customHeight="false" outlineLevel="0" collapsed="false">
      <c r="A104" s="0" t="n">
        <v>5150000</v>
      </c>
      <c r="B104" s="0" t="n">
        <v>231378934</v>
      </c>
      <c r="C104" s="1" t="n">
        <f aca="false">B104/(A104*LOG(A104))</f>
        <v>6.69386751084219</v>
      </c>
      <c r="D104" s="4" t="n">
        <f aca="false">$G$7*A104*LOG(A104)</f>
        <v>146560548.363771</v>
      </c>
      <c r="I104" s="2" t="n">
        <f aca="false">B104&lt;D104</f>
        <v>0</v>
      </c>
    </row>
    <row r="105" customFormat="false" ht="15" hidden="false" customHeight="false" outlineLevel="0" collapsed="false">
      <c r="A105" s="0" t="n">
        <v>5200000</v>
      </c>
      <c r="B105" s="0" t="n">
        <v>234314516</v>
      </c>
      <c r="C105" s="1" t="n">
        <f aca="false">B105/(A105*LOG(A105))</f>
        <v>6.70941950749037</v>
      </c>
      <c r="D105" s="4" t="n">
        <f aca="false">$G$7*A105*LOG(A105)</f>
        <v>148075983.206721</v>
      </c>
      <c r="I105" s="2" t="n">
        <f aca="false">B105&lt;D105</f>
        <v>0</v>
      </c>
    </row>
    <row r="106" customFormat="false" ht="15" hidden="false" customHeight="false" outlineLevel="0" collapsed="false">
      <c r="A106" s="0" t="n">
        <v>5250000</v>
      </c>
      <c r="B106" s="0" t="n">
        <v>239507070</v>
      </c>
      <c r="C106" s="1" t="n">
        <f aca="false">B106/(A106*LOG(A106))</f>
        <v>6.78858822031089</v>
      </c>
      <c r="D106" s="4" t="n">
        <f aca="false">$G$7*A106*LOG(A106)</f>
        <v>149592303.365127</v>
      </c>
      <c r="I106" s="2" t="n">
        <f aca="false">B106&lt;D106</f>
        <v>0</v>
      </c>
    </row>
    <row r="107" customFormat="false" ht="15" hidden="false" customHeight="false" outlineLevel="0" collapsed="false">
      <c r="A107" s="0" t="n">
        <v>5300000</v>
      </c>
      <c r="B107" s="0" t="n">
        <v>242765825</v>
      </c>
      <c r="C107" s="1" t="n">
        <f aca="false">B107/(A107*LOG(A107))</f>
        <v>6.81186696229773</v>
      </c>
      <c r="D107" s="4" t="n">
        <f aca="false">$G$7*A107*LOG(A107)</f>
        <v>151109500.407157</v>
      </c>
      <c r="I107" s="2" t="n">
        <f aca="false">B107&lt;D107</f>
        <v>0</v>
      </c>
    </row>
    <row r="108" customFormat="false" ht="15" hidden="false" customHeight="false" outlineLevel="0" collapsed="false">
      <c r="A108" s="0" t="n">
        <v>5350000</v>
      </c>
      <c r="B108" s="0" t="n">
        <v>249140386</v>
      </c>
      <c r="C108" s="1" t="n">
        <f aca="false">B108/(A108*LOG(A108))</f>
        <v>6.92120211827042</v>
      </c>
      <c r="D108" s="4" t="n">
        <f aca="false">$G$7*A108*LOG(A108)</f>
        <v>152627566.060078</v>
      </c>
      <c r="I108" s="2" t="n">
        <f aca="false">B108&lt;D108</f>
        <v>0</v>
      </c>
    </row>
    <row r="109" customFormat="false" ht="15" hidden="false" customHeight="false" outlineLevel="0" collapsed="false">
      <c r="A109" s="0" t="n">
        <v>5400000</v>
      </c>
      <c r="B109" s="0" t="n">
        <v>253015418</v>
      </c>
      <c r="C109" s="1" t="n">
        <f aca="false">B109/(A109*LOG(A109))</f>
        <v>6.9595910026316</v>
      </c>
      <c r="D109" s="4" t="n">
        <f aca="false">$G$7*A109*LOG(A109)</f>
        <v>154146492.205793</v>
      </c>
      <c r="I109" s="2" t="n">
        <f aca="false">B109&lt;D109</f>
        <v>0</v>
      </c>
    </row>
    <row r="110" customFormat="false" ht="15" hidden="false" customHeight="false" outlineLevel="0" collapsed="false">
      <c r="A110" s="0" t="n">
        <v>5450000</v>
      </c>
      <c r="B110" s="0" t="n">
        <v>258743472</v>
      </c>
      <c r="C110" s="1" t="n">
        <f aca="false">B110/(A110*LOG(A110))</f>
        <v>7.04766508414007</v>
      </c>
      <c r="D110" s="4" t="n">
        <f aca="false">$G$7*A110*LOG(A110)</f>
        <v>155666270.876547</v>
      </c>
      <c r="I110" s="2" t="n">
        <f aca="false">B110&lt;D110</f>
        <v>0</v>
      </c>
    </row>
    <row r="111" customFormat="false" ht="15" hidden="false" customHeight="false" outlineLevel="0" collapsed="false">
      <c r="A111" s="0" t="n">
        <v>5500000</v>
      </c>
      <c r="B111" s="0" t="n">
        <v>263717574</v>
      </c>
      <c r="C111" s="1" t="n">
        <f aca="false">B111/(A111*LOG(A111))</f>
        <v>7.11366020302086</v>
      </c>
      <c r="D111" s="4" t="n">
        <f aca="false">$G$7*A111*LOG(A111)</f>
        <v>157186894.250791</v>
      </c>
      <c r="I111" s="2" t="n">
        <f aca="false">B111&lt;D111</f>
        <v>0</v>
      </c>
    </row>
    <row r="112" customFormat="false" ht="15" hidden="false" customHeight="false" outlineLevel="0" collapsed="false">
      <c r="A112" s="0" t="n">
        <v>5550000</v>
      </c>
      <c r="B112" s="0" t="n">
        <v>266991160</v>
      </c>
      <c r="C112" s="1" t="n">
        <f aca="false">B112/(A112*LOG(A112))</f>
        <v>7.13292192905912</v>
      </c>
      <c r="D112" s="4" t="n">
        <f aca="false">$G$7*A112*LOG(A112)</f>
        <v>158708354.649187</v>
      </c>
      <c r="I112" s="2" t="n">
        <f aca="false">B112&lt;D112</f>
        <v>0</v>
      </c>
    </row>
    <row r="113" customFormat="false" ht="15" hidden="false" customHeight="false" outlineLevel="0" collapsed="false">
      <c r="A113" s="0" t="n">
        <v>5600000</v>
      </c>
      <c r="B113" s="0" t="n">
        <v>273379771</v>
      </c>
      <c r="C113" s="1" t="n">
        <f aca="false">B113/(A113*LOG(A113))</f>
        <v>7.23421102889123</v>
      </c>
      <c r="D113" s="4" t="n">
        <f aca="false">$G$7*A113*LOG(A113)</f>
        <v>160230644.530775</v>
      </c>
      <c r="I113" s="2" t="n">
        <f aca="false">B113&lt;D113</f>
        <v>0</v>
      </c>
    </row>
    <row r="114" customFormat="false" ht="15" hidden="false" customHeight="false" outlineLevel="0" collapsed="false">
      <c r="A114" s="0" t="n">
        <v>5650000</v>
      </c>
      <c r="B114" s="0" t="n">
        <v>276659243</v>
      </c>
      <c r="C114" s="1" t="n">
        <f aca="false">B114/(A114*LOG(A114))</f>
        <v>7.25205662807834</v>
      </c>
      <c r="D114" s="4" t="n">
        <f aca="false">$G$7*A114*LOG(A114)</f>
        <v>161753756.489254</v>
      </c>
      <c r="I114" s="2" t="n">
        <f aca="false">B114&lt;D114</f>
        <v>0</v>
      </c>
    </row>
    <row r="115" customFormat="false" ht="15" hidden="false" customHeight="false" outlineLevel="0" collapsed="false">
      <c r="A115" s="0" t="n">
        <v>5700000</v>
      </c>
      <c r="B115" s="0" t="n">
        <v>283080750</v>
      </c>
      <c r="C115" s="1" t="n">
        <f aca="false">B115/(A115*LOG(A115))</f>
        <v>7.35112632111369</v>
      </c>
      <c r="D115" s="4" t="n">
        <f aca="false">$G$7*A115*LOG(A115)</f>
        <v>163277683.24942</v>
      </c>
      <c r="I115" s="2" t="n">
        <f aca="false">B115&lt;D115</f>
        <v>0</v>
      </c>
    </row>
    <row r="116" customFormat="false" ht="15" hidden="false" customHeight="false" outlineLevel="0" collapsed="false">
      <c r="A116" s="0" t="n">
        <v>5750000</v>
      </c>
      <c r="B116" s="0" t="n">
        <v>285382151</v>
      </c>
      <c r="C116" s="1" t="n">
        <f aca="false">B116/(A116*LOG(A116))</f>
        <v>7.34232503358476</v>
      </c>
      <c r="D116" s="4" t="n">
        <f aca="false">$G$7*A116*LOG(A116)</f>
        <v>164802417.663702</v>
      </c>
      <c r="I116" s="2" t="n">
        <f aca="false">B116&lt;D116</f>
        <v>0</v>
      </c>
    </row>
    <row r="117" customFormat="false" ht="15" hidden="false" customHeight="false" outlineLevel="0" collapsed="false">
      <c r="A117" s="0" t="n">
        <v>5800000</v>
      </c>
      <c r="B117" s="0" t="n">
        <v>293354684</v>
      </c>
      <c r="C117" s="1" t="n">
        <f aca="false">B117/(A117*LOG(A117))</f>
        <v>7.47821871412562</v>
      </c>
      <c r="D117" s="4" t="n">
        <f aca="false">$G$7*A117*LOG(A117)</f>
        <v>166327952.708846</v>
      </c>
      <c r="I117" s="2" t="n">
        <f aca="false">B117&lt;D117</f>
        <v>0</v>
      </c>
    </row>
    <row r="118" customFormat="false" ht="15" hidden="false" customHeight="false" outlineLevel="0" collapsed="false">
      <c r="A118" s="0" t="n">
        <v>5850000</v>
      </c>
      <c r="B118" s="0" t="n">
        <v>298260511</v>
      </c>
      <c r="C118" s="1" t="n">
        <f aca="false">B118/(A118*LOG(A118))</f>
        <v>7.53414044895646</v>
      </c>
      <c r="D118" s="4" t="n">
        <f aca="false">$G$7*A118*LOG(A118)</f>
        <v>167854281.482689</v>
      </c>
      <c r="I118" s="2" t="n">
        <f aca="false">B118&lt;D118</f>
        <v>0</v>
      </c>
    </row>
    <row r="119" customFormat="false" ht="15" hidden="false" customHeight="false" outlineLevel="0" collapsed="false">
      <c r="A119" s="0" t="n">
        <v>5900000</v>
      </c>
      <c r="B119" s="0" t="n">
        <v>301238752</v>
      </c>
      <c r="C119" s="1" t="n">
        <f aca="false">B119/(A119*LOG(A119))</f>
        <v>7.5407667314881</v>
      </c>
      <c r="D119" s="4" t="n">
        <f aca="false">$G$7*A119*LOG(A119)</f>
        <v>169381397.201059</v>
      </c>
      <c r="I119" s="2" t="n">
        <f aca="false">B119&lt;D119</f>
        <v>0</v>
      </c>
    </row>
    <row r="120" customFormat="false" ht="15" hidden="false" customHeight="false" outlineLevel="0" collapsed="false">
      <c r="A120" s="0" t="n">
        <v>5950000</v>
      </c>
      <c r="B120" s="0" t="n">
        <v>306628190</v>
      </c>
      <c r="C120" s="1" t="n">
        <f aca="false">B120/(A120*LOG(A120))</f>
        <v>7.6070589003669</v>
      </c>
      <c r="D120" s="4" t="n">
        <f aca="false">$G$7*A120*LOG(A120)</f>
        <v>170909293.194773</v>
      </c>
      <c r="I120" s="2" t="n">
        <f aca="false">B120&lt;D120</f>
        <v>0</v>
      </c>
    </row>
    <row r="121" customFormat="false" ht="15" hidden="false" customHeight="false" outlineLevel="0" collapsed="false">
      <c r="A121" s="0" t="n">
        <v>6000000</v>
      </c>
      <c r="B121" s="0" t="n">
        <v>311844657</v>
      </c>
      <c r="C121" s="1" t="n">
        <f aca="false">B121/(A121*LOG(A121))</f>
        <v>7.66788871774708</v>
      </c>
      <c r="D121" s="4" t="n">
        <f aca="false">$G$7*A121*LOG(A121)</f>
        <v>172437962.906743</v>
      </c>
      <c r="I121" s="2" t="n">
        <f aca="false">B121&lt;D121</f>
        <v>0</v>
      </c>
    </row>
    <row r="122" customFormat="false" ht="15" hidden="false" customHeight="false" outlineLevel="0" collapsed="false">
      <c r="A122" s="0" t="n">
        <v>6050000</v>
      </c>
      <c r="B122" s="0" t="n">
        <v>317786230</v>
      </c>
      <c r="C122" s="1" t="n">
        <f aca="false">B122/(A122*LOG(A122))</f>
        <v>7.74528815697198</v>
      </c>
      <c r="D122" s="4" t="n">
        <f aca="false">$G$7*A122*LOG(A122)</f>
        <v>173967399.889165</v>
      </c>
      <c r="I122" s="2" t="n">
        <f aca="false">B122&lt;D122</f>
        <v>0</v>
      </c>
    </row>
    <row r="123" customFormat="false" ht="15" hidden="false" customHeight="false" outlineLevel="0" collapsed="false">
      <c r="A123" s="0" t="n">
        <v>6100000</v>
      </c>
      <c r="B123" s="0" t="n">
        <v>323780580</v>
      </c>
      <c r="C123" s="1" t="n">
        <f aca="false">B123/(A123*LOG(A123))</f>
        <v>7.82257972673382</v>
      </c>
      <c r="D123" s="4" t="n">
        <f aca="false">$G$7*A123*LOG(A123)</f>
        <v>175497597.800816</v>
      </c>
      <c r="I123" s="2" t="n">
        <f aca="false">B123&lt;D123</f>
        <v>0</v>
      </c>
    </row>
    <row r="124" customFormat="false" ht="15" hidden="false" customHeight="false" outlineLevel="0" collapsed="false">
      <c r="A124" s="0" t="n">
        <v>6150000</v>
      </c>
      <c r="B124" s="0" t="n">
        <v>328299270</v>
      </c>
      <c r="C124" s="1" t="n">
        <f aca="false">B124/(A124*LOG(A124))</f>
        <v>7.8631576235519</v>
      </c>
      <c r="D124" s="4" t="n">
        <f aca="false">$G$7*A124*LOG(A124)</f>
        <v>177028550.404432</v>
      </c>
      <c r="I124" s="2" t="n">
        <f aca="false">B124&lt;D124</f>
        <v>0</v>
      </c>
    </row>
    <row r="125" customFormat="false" ht="15" hidden="false" customHeight="false" outlineLevel="0" collapsed="false">
      <c r="A125" s="0" t="n">
        <v>6200000</v>
      </c>
      <c r="B125" s="0" t="n">
        <v>333405982</v>
      </c>
      <c r="C125" s="1" t="n">
        <f aca="false">B125/(A125*LOG(A125))</f>
        <v>7.91696958086778</v>
      </c>
      <c r="D125" s="4" t="n">
        <f aca="false">$G$7*A125*LOG(A125)</f>
        <v>178560251.56417</v>
      </c>
      <c r="I125" s="2" t="n">
        <f aca="false">B125&lt;D125</f>
        <v>0</v>
      </c>
    </row>
    <row r="126" customFormat="false" ht="15" hidden="false" customHeight="false" outlineLevel="0" collapsed="false">
      <c r="A126" s="0" t="n">
        <v>6250000</v>
      </c>
      <c r="B126" s="0" t="n">
        <v>337165217</v>
      </c>
      <c r="C126" s="1" t="n">
        <f aca="false">B126/(A126*LOG(A126))</f>
        <v>7.93810876329789</v>
      </c>
      <c r="D126" s="4" t="n">
        <f aca="false">$G$7*A126*LOG(A126)</f>
        <v>180092695.243154</v>
      </c>
      <c r="I126" s="2" t="n">
        <f aca="false">B126&lt;D126</f>
        <v>0</v>
      </c>
    </row>
    <row r="127" customFormat="false" ht="15" hidden="false" customHeight="false" outlineLevel="0" collapsed="false">
      <c r="A127" s="0" t="n">
        <v>6300000</v>
      </c>
      <c r="B127" s="0" t="n">
        <v>343326413</v>
      </c>
      <c r="C127" s="1" t="n">
        <f aca="false">B127/(A127*LOG(A127))</f>
        <v>8.01493257108964</v>
      </c>
      <c r="D127" s="4" t="n">
        <f aca="false">$G$7*A127*LOG(A127)</f>
        <v>181625875.501105</v>
      </c>
      <c r="I127" s="2" t="n">
        <f aca="false">B127&lt;D127</f>
        <v>0</v>
      </c>
    </row>
    <row r="128" customFormat="false" ht="15" hidden="false" customHeight="false" outlineLevel="0" collapsed="false">
      <c r="A128" s="0" t="n">
        <v>6350000</v>
      </c>
      <c r="B128" s="0" t="n">
        <v>349843753</v>
      </c>
      <c r="C128" s="1" t="n">
        <f aca="false">B128/(A128*LOG(A128))</f>
        <v>8.09868248367826</v>
      </c>
      <c r="D128" s="4" t="n">
        <f aca="false">$G$7*A128*LOG(A128)</f>
        <v>183159786.492034</v>
      </c>
      <c r="I128" s="2" t="n">
        <f aca="false">B128&lt;D128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2025-03-16T18:12:27Z</dcterms:created>
  <dc:creator>JUAN x</dc:creator>
  <dc:description/>
  <dc:language>es-ES</dc:language>
  <cp:lastModifiedBy/>
  <dcterms:modified xsi:type="dcterms:W3CDTF">2025-03-18T18:10:00Z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