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DOCUMENTOS\INFOMATES\UNI\INFORMATICA\SEGUNDO\ALG\ALGP1\"/>
    </mc:Choice>
  </mc:AlternateContent>
  <xr:revisionPtr revIDLastSave="0" documentId="13_ncr:1_{1D2EF82B-9C54-4309-A921-27205C309F95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bubble" sheetId="1" r:id="rId1"/>
    <sheet name="merge" sheetId="3" r:id="rId2"/>
    <sheet name="quick" sheetId="4" r:id="rId3"/>
    <sheet name="comparacion" sheetId="9" r:id="rId4"/>
    <sheet name="pequeños" sheetId="10" r:id="rId5"/>
    <sheet name="ordenados" sheetId="11" r:id="rId6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" i="11" l="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2" i="11"/>
  <c r="C37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" i="1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2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2" i="11"/>
  <c r="D2" i="4"/>
  <c r="C3" i="4"/>
  <c r="D3" i="4" s="1"/>
  <c r="C4" i="4"/>
  <c r="D4" i="4" s="1"/>
  <c r="C5" i="4"/>
  <c r="D5" i="4" s="1"/>
  <c r="C6" i="4"/>
  <c r="C7" i="4"/>
  <c r="C8" i="4"/>
  <c r="C9" i="4"/>
  <c r="C10" i="4"/>
  <c r="C11" i="4"/>
  <c r="D11" i="4" s="1"/>
  <c r="C12" i="4"/>
  <c r="C13" i="4"/>
  <c r="C14" i="4"/>
  <c r="C15" i="4"/>
  <c r="C16" i="4"/>
  <c r="C17" i="4"/>
  <c r="D17" i="4" s="1"/>
  <c r="C18" i="4"/>
  <c r="D18" i="4" s="1"/>
  <c r="C19" i="4"/>
  <c r="D19" i="4" s="1"/>
  <c r="C20" i="4"/>
  <c r="D20" i="4" s="1"/>
  <c r="C21" i="4"/>
  <c r="D21" i="4" s="1"/>
  <c r="C22" i="4"/>
  <c r="D22" i="4" s="1"/>
  <c r="C23" i="4"/>
  <c r="D23" i="4" s="1"/>
  <c r="C24" i="4"/>
  <c r="D24" i="4" s="1"/>
  <c r="C25" i="4"/>
  <c r="D25" i="4" s="1"/>
  <c r="C26" i="4"/>
  <c r="C27" i="4"/>
  <c r="C28" i="4"/>
  <c r="C29" i="4"/>
  <c r="D29" i="4" s="1"/>
  <c r="C30" i="4"/>
  <c r="D30" i="4" s="1"/>
  <c r="C31" i="4"/>
  <c r="D31" i="4" s="1"/>
  <c r="C32" i="4"/>
  <c r="D32" i="4" s="1"/>
  <c r="C33" i="4"/>
  <c r="D33" i="4" s="1"/>
  <c r="C34" i="4"/>
  <c r="C35" i="4"/>
  <c r="D35" i="4" s="1"/>
  <c r="C36" i="4"/>
  <c r="D36" i="4" s="1"/>
  <c r="C2" i="4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2" i="3"/>
  <c r="D38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2" i="3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2" i="1"/>
  <c r="D38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2" i="1"/>
  <c r="D6" i="4"/>
  <c r="D7" i="4"/>
  <c r="D8" i="4"/>
  <c r="D9" i="4"/>
  <c r="D10" i="4"/>
  <c r="D12" i="4"/>
  <c r="D13" i="4"/>
  <c r="D14" i="4"/>
  <c r="D15" i="4"/>
  <c r="D16" i="4"/>
  <c r="D26" i="4"/>
  <c r="D27" i="4"/>
  <c r="D28" i="4"/>
  <c r="D34" i="4"/>
  <c r="D37" i="4" l="1"/>
  <c r="E3" i="4" l="1"/>
  <c r="E23" i="4"/>
  <c r="E27" i="4"/>
  <c r="E9" i="4"/>
  <c r="E16" i="4"/>
  <c r="E18" i="4"/>
  <c r="E19" i="4"/>
  <c r="E20" i="4"/>
  <c r="E4" i="4"/>
  <c r="E24" i="4"/>
  <c r="E7" i="4"/>
  <c r="E29" i="4"/>
  <c r="E17" i="4"/>
  <c r="E22" i="4"/>
  <c r="E5" i="4"/>
  <c r="E25" i="4"/>
  <c r="E26" i="4"/>
  <c r="E6" i="4"/>
  <c r="E8" i="4"/>
  <c r="E28" i="4"/>
  <c r="E10" i="4"/>
  <c r="E30" i="4"/>
  <c r="E11" i="4"/>
  <c r="E31" i="4"/>
  <c r="E12" i="4"/>
  <c r="E32" i="4"/>
  <c r="E33" i="4"/>
  <c r="E14" i="4"/>
  <c r="E34" i="4"/>
  <c r="E2" i="4"/>
  <c r="E13" i="4"/>
  <c r="E35" i="4"/>
  <c r="E36" i="4"/>
  <c r="E15" i="4"/>
  <c r="E21" i="4"/>
</calcChain>
</file>

<file path=xl/sharedStrings.xml><?xml version="1.0" encoding="utf-8"?>
<sst xmlns="http://schemas.openxmlformats.org/spreadsheetml/2006/main" count="39" uniqueCount="25">
  <si>
    <t>TAMAÑO</t>
  </si>
  <si>
    <t>TIEMPO (us)</t>
  </si>
  <si>
    <t>TIEMPO/f(n)</t>
  </si>
  <si>
    <t>TIEMPO TEORICO (Kpromedio)</t>
  </si>
  <si>
    <t>K promedio</t>
  </si>
  <si>
    <t>TIEMPO TEORICO</t>
  </si>
  <si>
    <t>k = TIEMPO/f(n)</t>
  </si>
  <si>
    <t>TIEMPO ORDENADO</t>
  </si>
  <si>
    <t xml:space="preserve"> TIEMPO ORDENADO</t>
  </si>
  <si>
    <t>f(n) = n^2</t>
  </si>
  <si>
    <t>Columna1</t>
  </si>
  <si>
    <t>f(n)= n*log(n)</t>
  </si>
  <si>
    <t>f(n) = n*log(n)</t>
  </si>
  <si>
    <t>TIEMPO-Merge</t>
  </si>
  <si>
    <t>TIEMPO-Quick</t>
  </si>
  <si>
    <t>TIEMPO-Bubble</t>
  </si>
  <si>
    <t>BUBBLE</t>
  </si>
  <si>
    <t>MERGE</t>
  </si>
  <si>
    <t>QUICK</t>
  </si>
  <si>
    <t>Quick</t>
  </si>
  <si>
    <t>Bubble</t>
  </si>
  <si>
    <t>Merge</t>
  </si>
  <si>
    <t>k = T/(n^2)</t>
  </si>
  <si>
    <t>k=T/(nlogn)</t>
  </si>
  <si>
    <t>k=T/(n)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</si>
</sst>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2" fontId="0" fillId="0" borderId="0" xfId="0" applyNumberFormat="1"/>
    <xf numFmtId="0" fontId="2" fillId="0" borderId="0" xfId="0" applyFont="1"/>
  </cellXfs>
  <cellStyles count="1">
    <cellStyle name="Normal" xfId="0" builtinId="0"/>
  </cellStyles>
  <dxfs count="1">
    <dxf>
      <numFmt numFmtId="2" formatCode="0.0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n-US" sz="1400" b="0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400" b="0" strike="noStrike" spc="-1">
                <a:solidFill>
                  <a:srgbClr val="000000"/>
                </a:solidFill>
                <a:latin typeface="Calibri"/>
              </a:rPr>
              <a:t>bubbleSort</a:t>
            </a:r>
          </a:p>
        </c:rich>
      </c:tx>
      <c:layout>
        <c:manualLayout>
          <c:xMode val="edge"/>
          <c:yMode val="edge"/>
          <c:x val="0.43462686567164199"/>
          <c:y val="3.2407846110110897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9497964721845305E-2"/>
          <c:y val="0.12792570832938499"/>
          <c:w val="0.75685210312076001"/>
          <c:h val="0.80214157111721796"/>
        </c:manualLayout>
      </c:layout>
      <c:scatterChart>
        <c:scatterStyle val="lineMarker"/>
        <c:varyColors val="0"/>
        <c:ser>
          <c:idx val="0"/>
          <c:order val="0"/>
          <c:tx>
            <c:strRef>
              <c:f>bubble!$B$1</c:f>
              <c:strCache>
                <c:ptCount val="1"/>
                <c:pt idx="0">
                  <c:v>TIEMPO (us)</c:v>
                </c:pt>
              </c:strCache>
            </c:strRef>
          </c:tx>
          <c:spPr>
            <a:ln w="19080" cap="rnd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E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bubble!$A$2:$A$36</c:f>
              <c:numCache>
                <c:formatCode>General</c:formatCode>
                <c:ptCount val="3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</c:numCache>
            </c:numRef>
          </c:xVal>
          <c:yVal>
            <c:numRef>
              <c:f>bubble!$B$2:$B$36</c:f>
              <c:numCache>
                <c:formatCode>General</c:formatCode>
                <c:ptCount val="35"/>
                <c:pt idx="0">
                  <c:v>2338</c:v>
                </c:pt>
                <c:pt idx="1">
                  <c:v>8862</c:v>
                </c:pt>
                <c:pt idx="2">
                  <c:v>21128</c:v>
                </c:pt>
                <c:pt idx="3">
                  <c:v>36625</c:v>
                </c:pt>
                <c:pt idx="4">
                  <c:v>58964</c:v>
                </c:pt>
                <c:pt idx="5">
                  <c:v>89837</c:v>
                </c:pt>
                <c:pt idx="6">
                  <c:v>126509</c:v>
                </c:pt>
                <c:pt idx="7">
                  <c:v>172619</c:v>
                </c:pt>
                <c:pt idx="8">
                  <c:v>206162</c:v>
                </c:pt>
                <c:pt idx="9">
                  <c:v>257846</c:v>
                </c:pt>
                <c:pt idx="10">
                  <c:v>320095</c:v>
                </c:pt>
                <c:pt idx="11">
                  <c:v>383531</c:v>
                </c:pt>
                <c:pt idx="12">
                  <c:v>448301</c:v>
                </c:pt>
                <c:pt idx="13">
                  <c:v>510758</c:v>
                </c:pt>
                <c:pt idx="14">
                  <c:v>597212</c:v>
                </c:pt>
                <c:pt idx="15">
                  <c:v>680927</c:v>
                </c:pt>
                <c:pt idx="16">
                  <c:v>762225</c:v>
                </c:pt>
                <c:pt idx="17">
                  <c:v>857677</c:v>
                </c:pt>
                <c:pt idx="18">
                  <c:v>960859</c:v>
                </c:pt>
                <c:pt idx="19">
                  <c:v>1061429</c:v>
                </c:pt>
                <c:pt idx="20">
                  <c:v>1170663</c:v>
                </c:pt>
                <c:pt idx="21">
                  <c:v>1284151</c:v>
                </c:pt>
                <c:pt idx="22">
                  <c:v>1415770</c:v>
                </c:pt>
                <c:pt idx="23">
                  <c:v>1533342</c:v>
                </c:pt>
                <c:pt idx="24">
                  <c:v>1674880</c:v>
                </c:pt>
                <c:pt idx="25">
                  <c:v>1808805</c:v>
                </c:pt>
                <c:pt idx="26">
                  <c:v>1960424</c:v>
                </c:pt>
                <c:pt idx="27">
                  <c:v>2105079</c:v>
                </c:pt>
                <c:pt idx="28">
                  <c:v>2264073</c:v>
                </c:pt>
                <c:pt idx="29">
                  <c:v>2410573</c:v>
                </c:pt>
                <c:pt idx="30">
                  <c:v>2580920</c:v>
                </c:pt>
                <c:pt idx="31">
                  <c:v>2758535</c:v>
                </c:pt>
                <c:pt idx="32">
                  <c:v>2931504</c:v>
                </c:pt>
                <c:pt idx="33">
                  <c:v>3120316</c:v>
                </c:pt>
                <c:pt idx="34">
                  <c:v>3313908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51-4C1D-93AC-3BA414012282}"/>
            </c:ext>
          </c:extLst>
        </c:ser>
        <c:ser>
          <c:idx val="1"/>
          <c:order val="1"/>
          <c:tx>
            <c:strRef>
              <c:f>bubble!$E$1</c:f>
              <c:strCache>
                <c:ptCount val="1"/>
                <c:pt idx="0">
                  <c:v>TIEMPO TEORICO (Kpromedio)</c:v>
                </c:pt>
              </c:strCache>
            </c:strRef>
          </c:tx>
          <c:spPr>
            <a:ln w="19080" cap="rnd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E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bubble!$A$2:$A$36</c:f>
              <c:numCache>
                <c:formatCode>General</c:formatCode>
                <c:ptCount val="3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</c:numCache>
            </c:numRef>
          </c:xVal>
          <c:yVal>
            <c:numRef>
              <c:f>bubble!$E$2:$E$36</c:f>
              <c:numCache>
                <c:formatCode>General</c:formatCode>
                <c:ptCount val="35"/>
                <c:pt idx="0">
                  <c:v>2604.3027668390705</c:v>
                </c:pt>
                <c:pt idx="1">
                  <c:v>10417.211067356282</c:v>
                </c:pt>
                <c:pt idx="2">
                  <c:v>23438.724901551632</c:v>
                </c:pt>
                <c:pt idx="3">
                  <c:v>41668.844269425128</c:v>
                </c:pt>
                <c:pt idx="4">
                  <c:v>65107.569170976756</c:v>
                </c:pt>
                <c:pt idx="5">
                  <c:v>93754.899606206527</c:v>
                </c:pt>
                <c:pt idx="6">
                  <c:v>127610.83557511444</c:v>
                </c:pt>
                <c:pt idx="7">
                  <c:v>166675.37707770051</c:v>
                </c:pt>
                <c:pt idx="8">
                  <c:v>210948.5241139647</c:v>
                </c:pt>
                <c:pt idx="9">
                  <c:v>260430.27668390702</c:v>
                </c:pt>
                <c:pt idx="10">
                  <c:v>315120.6347875275</c:v>
                </c:pt>
                <c:pt idx="11">
                  <c:v>375019.59842482611</c:v>
                </c:pt>
                <c:pt idx="12">
                  <c:v>440127.16759580286</c:v>
                </c:pt>
                <c:pt idx="13">
                  <c:v>510443.34230045776</c:v>
                </c:pt>
                <c:pt idx="14">
                  <c:v>585968.12253879081</c:v>
                </c:pt>
                <c:pt idx="15">
                  <c:v>666701.50831080205</c:v>
                </c:pt>
                <c:pt idx="16">
                  <c:v>752643.49961649126</c:v>
                </c:pt>
                <c:pt idx="17">
                  <c:v>843794.09645585879</c:v>
                </c:pt>
                <c:pt idx="18">
                  <c:v>940153.2988289044</c:v>
                </c:pt>
                <c:pt idx="19">
                  <c:v>1041721.1067356281</c:v>
                </c:pt>
                <c:pt idx="20">
                  <c:v>1148497.52017603</c:v>
                </c:pt>
                <c:pt idx="21">
                  <c:v>1260482.53915011</c:v>
                </c:pt>
                <c:pt idx="22">
                  <c:v>1377676.1636578683</c:v>
                </c:pt>
                <c:pt idx="23">
                  <c:v>1500078.3936993044</c:v>
                </c:pt>
                <c:pt idx="24">
                  <c:v>1627689.2292744189</c:v>
                </c:pt>
                <c:pt idx="25">
                  <c:v>1760508.6703832115</c:v>
                </c:pt>
                <c:pt idx="26">
                  <c:v>1898536.7170256823</c:v>
                </c:pt>
                <c:pt idx="27">
                  <c:v>2041773.3692018311</c:v>
                </c:pt>
                <c:pt idx="28">
                  <c:v>2190218.6269116583</c:v>
                </c:pt>
                <c:pt idx="29">
                  <c:v>2343872.4901551632</c:v>
                </c:pt>
                <c:pt idx="30">
                  <c:v>2502734.9589323467</c:v>
                </c:pt>
                <c:pt idx="31">
                  <c:v>2666806.0332432082</c:v>
                </c:pt>
                <c:pt idx="32">
                  <c:v>2836085.7130877473</c:v>
                </c:pt>
                <c:pt idx="33">
                  <c:v>3010573.998465965</c:v>
                </c:pt>
                <c:pt idx="34">
                  <c:v>3190270.8893778613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51-4C1D-93AC-3BA414012282}"/>
            </c:ext>
          </c:extLst>
        </c:ser>
        <c:ser>
          <c:idx val="2"/>
          <c:order val="2"/>
          <c:tx>
            <c:strRef>
              <c:f>bubble!$G$1</c:f>
              <c:strCache>
                <c:ptCount val="1"/>
                <c:pt idx="0">
                  <c:v>TIEMPO ORDENADO</c:v>
                </c:pt>
              </c:strCache>
            </c:strRef>
          </c:tx>
          <c:xVal>
            <c:numRef>
              <c:f>bubble!$A$2:$A$36</c:f>
              <c:numCache>
                <c:formatCode>General</c:formatCode>
                <c:ptCount val="3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</c:numCache>
            </c:numRef>
          </c:xVal>
          <c:yVal>
            <c:numRef>
              <c:f>bubble!$G$2:$G$36</c:f>
              <c:numCache>
                <c:formatCode>General</c:formatCode>
                <c:ptCount val="35"/>
                <c:pt idx="0">
                  <c:v>1</c:v>
                </c:pt>
                <c:pt idx="1">
                  <c:v>4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9</c:v>
                </c:pt>
                <c:pt idx="6">
                  <c:v>10</c:v>
                </c:pt>
                <c:pt idx="7">
                  <c:v>12</c:v>
                </c:pt>
                <c:pt idx="8">
                  <c:v>13</c:v>
                </c:pt>
                <c:pt idx="9">
                  <c:v>15</c:v>
                </c:pt>
                <c:pt idx="10">
                  <c:v>16</c:v>
                </c:pt>
                <c:pt idx="11">
                  <c:v>18</c:v>
                </c:pt>
                <c:pt idx="12">
                  <c:v>19</c:v>
                </c:pt>
                <c:pt idx="13">
                  <c:v>21</c:v>
                </c:pt>
                <c:pt idx="14">
                  <c:v>25</c:v>
                </c:pt>
                <c:pt idx="15">
                  <c:v>24</c:v>
                </c:pt>
                <c:pt idx="16">
                  <c:v>25</c:v>
                </c:pt>
                <c:pt idx="17">
                  <c:v>27</c:v>
                </c:pt>
                <c:pt idx="18">
                  <c:v>28</c:v>
                </c:pt>
                <c:pt idx="19">
                  <c:v>35</c:v>
                </c:pt>
                <c:pt idx="20">
                  <c:v>35</c:v>
                </c:pt>
                <c:pt idx="21">
                  <c:v>33</c:v>
                </c:pt>
                <c:pt idx="22">
                  <c:v>35</c:v>
                </c:pt>
                <c:pt idx="23">
                  <c:v>46</c:v>
                </c:pt>
                <c:pt idx="24">
                  <c:v>37</c:v>
                </c:pt>
                <c:pt idx="25">
                  <c:v>39</c:v>
                </c:pt>
                <c:pt idx="26">
                  <c:v>40</c:v>
                </c:pt>
                <c:pt idx="27">
                  <c:v>42</c:v>
                </c:pt>
                <c:pt idx="28">
                  <c:v>49</c:v>
                </c:pt>
                <c:pt idx="29">
                  <c:v>45</c:v>
                </c:pt>
                <c:pt idx="30">
                  <c:v>47</c:v>
                </c:pt>
                <c:pt idx="31">
                  <c:v>48</c:v>
                </c:pt>
                <c:pt idx="32">
                  <c:v>50</c:v>
                </c:pt>
                <c:pt idx="33">
                  <c:v>57</c:v>
                </c:pt>
                <c:pt idx="34">
                  <c:v>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F0F-4B17-8B83-C1210DFE2F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383036"/>
        <c:axId val="76957715"/>
      </c:scatterChart>
      <c:valAx>
        <c:axId val="40383036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s-ES"/>
          </a:p>
        </c:txPr>
        <c:crossAx val="76957715"/>
        <c:crosses val="autoZero"/>
        <c:crossBetween val="midCat"/>
      </c:valAx>
      <c:valAx>
        <c:axId val="7695771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s-ES"/>
          </a:p>
        </c:txPr>
        <c:crossAx val="40383036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000000"/>
              </a:solidFill>
              <a:latin typeface="Calibri"/>
            </a:defRPr>
          </a:pPr>
          <a:endParaRPr lang="es-E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000000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MergeSort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merge!$B$1</c:f>
              <c:strCache>
                <c:ptCount val="1"/>
                <c:pt idx="0">
                  <c:v>TIEMPO (us)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merge!$A$2:$A$36</c:f>
              <c:numCache>
                <c:formatCode>General</c:formatCode>
                <c:ptCount val="35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  <c:pt idx="10">
                  <c:v>110000</c:v>
                </c:pt>
                <c:pt idx="11">
                  <c:v>120000</c:v>
                </c:pt>
                <c:pt idx="12">
                  <c:v>130000</c:v>
                </c:pt>
                <c:pt idx="13">
                  <c:v>140000</c:v>
                </c:pt>
                <c:pt idx="14">
                  <c:v>150000</c:v>
                </c:pt>
                <c:pt idx="15">
                  <c:v>160000</c:v>
                </c:pt>
                <c:pt idx="16">
                  <c:v>170000</c:v>
                </c:pt>
                <c:pt idx="17">
                  <c:v>180000</c:v>
                </c:pt>
                <c:pt idx="18">
                  <c:v>190000</c:v>
                </c:pt>
                <c:pt idx="19">
                  <c:v>200000</c:v>
                </c:pt>
                <c:pt idx="20">
                  <c:v>210000</c:v>
                </c:pt>
                <c:pt idx="21">
                  <c:v>220000</c:v>
                </c:pt>
                <c:pt idx="22">
                  <c:v>230000</c:v>
                </c:pt>
                <c:pt idx="23">
                  <c:v>240000</c:v>
                </c:pt>
                <c:pt idx="24">
                  <c:v>250000</c:v>
                </c:pt>
                <c:pt idx="25">
                  <c:v>260000</c:v>
                </c:pt>
                <c:pt idx="26">
                  <c:v>270000</c:v>
                </c:pt>
                <c:pt idx="27">
                  <c:v>280000</c:v>
                </c:pt>
                <c:pt idx="28">
                  <c:v>290000</c:v>
                </c:pt>
                <c:pt idx="29">
                  <c:v>300000</c:v>
                </c:pt>
                <c:pt idx="30">
                  <c:v>310000</c:v>
                </c:pt>
                <c:pt idx="31">
                  <c:v>320000</c:v>
                </c:pt>
                <c:pt idx="32">
                  <c:v>330000</c:v>
                </c:pt>
                <c:pt idx="33">
                  <c:v>340000</c:v>
                </c:pt>
                <c:pt idx="34">
                  <c:v>350000</c:v>
                </c:pt>
              </c:numCache>
            </c:numRef>
          </c:xVal>
          <c:yVal>
            <c:numRef>
              <c:f>merge!$B$2:$B$36</c:f>
              <c:numCache>
                <c:formatCode>General</c:formatCode>
                <c:ptCount val="35"/>
                <c:pt idx="0">
                  <c:v>2666</c:v>
                </c:pt>
                <c:pt idx="1">
                  <c:v>6382</c:v>
                </c:pt>
                <c:pt idx="2">
                  <c:v>7306</c:v>
                </c:pt>
                <c:pt idx="3">
                  <c:v>10186</c:v>
                </c:pt>
                <c:pt idx="4">
                  <c:v>12490</c:v>
                </c:pt>
                <c:pt idx="5">
                  <c:v>15758</c:v>
                </c:pt>
                <c:pt idx="6">
                  <c:v>17252</c:v>
                </c:pt>
                <c:pt idx="7">
                  <c:v>19471</c:v>
                </c:pt>
                <c:pt idx="8">
                  <c:v>23714</c:v>
                </c:pt>
                <c:pt idx="9">
                  <c:v>24696</c:v>
                </c:pt>
                <c:pt idx="10">
                  <c:v>27595</c:v>
                </c:pt>
                <c:pt idx="11">
                  <c:v>30894</c:v>
                </c:pt>
                <c:pt idx="12">
                  <c:v>35876</c:v>
                </c:pt>
                <c:pt idx="13">
                  <c:v>37812</c:v>
                </c:pt>
                <c:pt idx="14">
                  <c:v>40721</c:v>
                </c:pt>
                <c:pt idx="15">
                  <c:v>45301</c:v>
                </c:pt>
                <c:pt idx="16">
                  <c:v>43627</c:v>
                </c:pt>
                <c:pt idx="17">
                  <c:v>45962</c:v>
                </c:pt>
                <c:pt idx="18">
                  <c:v>51853</c:v>
                </c:pt>
                <c:pt idx="19">
                  <c:v>51899</c:v>
                </c:pt>
                <c:pt idx="20">
                  <c:v>54286</c:v>
                </c:pt>
                <c:pt idx="21">
                  <c:v>57979</c:v>
                </c:pt>
                <c:pt idx="22">
                  <c:v>61517</c:v>
                </c:pt>
                <c:pt idx="23">
                  <c:v>61245</c:v>
                </c:pt>
                <c:pt idx="24">
                  <c:v>69429</c:v>
                </c:pt>
                <c:pt idx="25">
                  <c:v>67626</c:v>
                </c:pt>
                <c:pt idx="26">
                  <c:v>71582</c:v>
                </c:pt>
                <c:pt idx="27">
                  <c:v>74553</c:v>
                </c:pt>
                <c:pt idx="28">
                  <c:v>78696</c:v>
                </c:pt>
                <c:pt idx="29">
                  <c:v>79544</c:v>
                </c:pt>
                <c:pt idx="30">
                  <c:v>81769</c:v>
                </c:pt>
                <c:pt idx="31">
                  <c:v>85105</c:v>
                </c:pt>
                <c:pt idx="32">
                  <c:v>92620</c:v>
                </c:pt>
                <c:pt idx="33">
                  <c:v>92714</c:v>
                </c:pt>
                <c:pt idx="34">
                  <c:v>92682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F55-4B51-A596-325D067163A7}"/>
            </c:ext>
          </c:extLst>
        </c:ser>
        <c:ser>
          <c:idx val="1"/>
          <c:order val="1"/>
          <c:tx>
            <c:strRef>
              <c:f>merge!$E$1</c:f>
              <c:strCache>
                <c:ptCount val="1"/>
                <c:pt idx="0">
                  <c:v>TIEMPO TEORICO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merge!$A$2:$A$36</c:f>
              <c:numCache>
                <c:formatCode>General</c:formatCode>
                <c:ptCount val="35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  <c:pt idx="10">
                  <c:v>110000</c:v>
                </c:pt>
                <c:pt idx="11">
                  <c:v>120000</c:v>
                </c:pt>
                <c:pt idx="12">
                  <c:v>130000</c:v>
                </c:pt>
                <c:pt idx="13">
                  <c:v>140000</c:v>
                </c:pt>
                <c:pt idx="14">
                  <c:v>150000</c:v>
                </c:pt>
                <c:pt idx="15">
                  <c:v>160000</c:v>
                </c:pt>
                <c:pt idx="16">
                  <c:v>170000</c:v>
                </c:pt>
                <c:pt idx="17">
                  <c:v>180000</c:v>
                </c:pt>
                <c:pt idx="18">
                  <c:v>190000</c:v>
                </c:pt>
                <c:pt idx="19">
                  <c:v>200000</c:v>
                </c:pt>
                <c:pt idx="20">
                  <c:v>210000</c:v>
                </c:pt>
                <c:pt idx="21">
                  <c:v>220000</c:v>
                </c:pt>
                <c:pt idx="22">
                  <c:v>230000</c:v>
                </c:pt>
                <c:pt idx="23">
                  <c:v>240000</c:v>
                </c:pt>
                <c:pt idx="24">
                  <c:v>250000</c:v>
                </c:pt>
                <c:pt idx="25">
                  <c:v>260000</c:v>
                </c:pt>
                <c:pt idx="26">
                  <c:v>270000</c:v>
                </c:pt>
                <c:pt idx="27">
                  <c:v>280000</c:v>
                </c:pt>
                <c:pt idx="28">
                  <c:v>290000</c:v>
                </c:pt>
                <c:pt idx="29">
                  <c:v>300000</c:v>
                </c:pt>
                <c:pt idx="30">
                  <c:v>310000</c:v>
                </c:pt>
                <c:pt idx="31">
                  <c:v>320000</c:v>
                </c:pt>
                <c:pt idx="32">
                  <c:v>330000</c:v>
                </c:pt>
                <c:pt idx="33">
                  <c:v>340000</c:v>
                </c:pt>
                <c:pt idx="34">
                  <c:v>350000</c:v>
                </c:pt>
              </c:numCache>
            </c:numRef>
          </c:xVal>
          <c:yVal>
            <c:numRef>
              <c:f>merge!$E$2:$E$36</c:f>
              <c:numCache>
                <c:formatCode>General</c:formatCode>
                <c:ptCount val="35"/>
                <c:pt idx="0">
                  <c:v>2066.944174667497</c:v>
                </c:pt>
                <c:pt idx="1">
                  <c:v>4444.9944473039186</c:v>
                </c:pt>
                <c:pt idx="2">
                  <c:v>6940.469772542132</c:v>
                </c:pt>
                <c:pt idx="3">
                  <c:v>9512.2010905456846</c:v>
                </c:pt>
                <c:pt idx="4">
                  <c:v>12140.635846749547</c:v>
                </c:pt>
                <c:pt idx="5">
                  <c:v>14814.257838991036</c:v>
                </c:pt>
                <c:pt idx="6">
                  <c:v>17525.457546625657</c:v>
                </c:pt>
                <c:pt idx="7">
                  <c:v>20268.826572967064</c:v>
                </c:pt>
                <c:pt idx="8">
                  <c:v>23040.321063245316</c:v>
                </c:pt>
                <c:pt idx="9">
                  <c:v>25836.802183343712</c:v>
                </c:pt>
                <c:pt idx="10">
                  <c:v>28655.762417697599</c:v>
                </c:pt>
                <c:pt idx="11">
                  <c:v>31495.152265795616</c:v>
                </c:pt>
                <c:pt idx="12">
                  <c:v>34353.265120298107</c:v>
                </c:pt>
                <c:pt idx="13">
                  <c:v>37228.657779033783</c:v>
                </c:pt>
                <c:pt idx="14">
                  <c:v>40120.093782946846</c:v>
                </c:pt>
                <c:pt idx="15">
                  <c:v>43026.501929685517</c:v>
                </c:pt>
                <c:pt idx="16">
                  <c:v>45946.945197989546</c:v>
                </c:pt>
                <c:pt idx="17">
                  <c:v>48880.597008210949</c:v>
                </c:pt>
                <c:pt idx="18">
                  <c:v>51826.722773723988</c:v>
                </c:pt>
                <c:pt idx="19">
                  <c:v>54784.665346376663</c:v>
                </c:pt>
                <c:pt idx="20">
                  <c:v>57753.833379654461</c:v>
                </c:pt>
                <c:pt idx="21">
                  <c:v>60733.69191305335</c:v>
                </c:pt>
                <c:pt idx="22">
                  <c:v>63723.754671652496</c:v>
                </c:pt>
                <c:pt idx="23">
                  <c:v>66723.577707218312</c:v>
                </c:pt>
                <c:pt idx="24">
                  <c:v>69732.754100808044</c:v>
                </c:pt>
                <c:pt idx="25">
                  <c:v>72750.909514192244</c:v>
                </c:pt>
                <c:pt idx="26">
                  <c:v>75777.698426592702</c:v>
                </c:pt>
                <c:pt idx="27">
                  <c:v>78812.800929632504</c:v>
                </c:pt>
                <c:pt idx="28">
                  <c:v>81855.919980676699</c:v>
                </c:pt>
                <c:pt idx="29">
                  <c:v>84906.779035427549</c:v>
                </c:pt>
                <c:pt idx="30">
                  <c:v>87965.119996488182</c:v>
                </c:pt>
                <c:pt idx="31">
                  <c:v>91030.701426873828</c:v>
                </c:pt>
                <c:pt idx="32">
                  <c:v>94103.296987028822</c:v>
                </c:pt>
                <c:pt idx="33">
                  <c:v>97182.694061450806</c:v>
                </c:pt>
                <c:pt idx="34">
                  <c:v>100268.69254701272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F55-4B51-A596-325D067163A7}"/>
            </c:ext>
          </c:extLst>
        </c:ser>
        <c:ser>
          <c:idx val="2"/>
          <c:order val="2"/>
          <c:tx>
            <c:strRef>
              <c:f>merge!$G$1</c:f>
              <c:strCache>
                <c:ptCount val="1"/>
                <c:pt idx="0">
                  <c:v> TIEMPO ORDENADO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merge!$A$2:$A$36</c:f>
              <c:numCache>
                <c:formatCode>General</c:formatCode>
                <c:ptCount val="35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  <c:pt idx="10">
                  <c:v>110000</c:v>
                </c:pt>
                <c:pt idx="11">
                  <c:v>120000</c:v>
                </c:pt>
                <c:pt idx="12">
                  <c:v>130000</c:v>
                </c:pt>
                <c:pt idx="13">
                  <c:v>140000</c:v>
                </c:pt>
                <c:pt idx="14">
                  <c:v>150000</c:v>
                </c:pt>
                <c:pt idx="15">
                  <c:v>160000</c:v>
                </c:pt>
                <c:pt idx="16">
                  <c:v>170000</c:v>
                </c:pt>
                <c:pt idx="17">
                  <c:v>180000</c:v>
                </c:pt>
                <c:pt idx="18">
                  <c:v>190000</c:v>
                </c:pt>
                <c:pt idx="19">
                  <c:v>200000</c:v>
                </c:pt>
                <c:pt idx="20">
                  <c:v>210000</c:v>
                </c:pt>
                <c:pt idx="21">
                  <c:v>220000</c:v>
                </c:pt>
                <c:pt idx="22">
                  <c:v>230000</c:v>
                </c:pt>
                <c:pt idx="23">
                  <c:v>240000</c:v>
                </c:pt>
                <c:pt idx="24">
                  <c:v>250000</c:v>
                </c:pt>
                <c:pt idx="25">
                  <c:v>260000</c:v>
                </c:pt>
                <c:pt idx="26">
                  <c:v>270000</c:v>
                </c:pt>
                <c:pt idx="27">
                  <c:v>280000</c:v>
                </c:pt>
                <c:pt idx="28">
                  <c:v>290000</c:v>
                </c:pt>
                <c:pt idx="29">
                  <c:v>300000</c:v>
                </c:pt>
                <c:pt idx="30">
                  <c:v>310000</c:v>
                </c:pt>
                <c:pt idx="31">
                  <c:v>320000</c:v>
                </c:pt>
                <c:pt idx="32">
                  <c:v>330000</c:v>
                </c:pt>
                <c:pt idx="33">
                  <c:v>340000</c:v>
                </c:pt>
                <c:pt idx="34">
                  <c:v>350000</c:v>
                </c:pt>
              </c:numCache>
            </c:numRef>
          </c:xVal>
          <c:yVal>
            <c:numRef>
              <c:f>merge!$G$2:$G$36</c:f>
              <c:numCache>
                <c:formatCode>General</c:formatCode>
                <c:ptCount val="35"/>
                <c:pt idx="0">
                  <c:v>3410</c:v>
                </c:pt>
                <c:pt idx="1">
                  <c:v>3422</c:v>
                </c:pt>
                <c:pt idx="2">
                  <c:v>5785</c:v>
                </c:pt>
                <c:pt idx="3">
                  <c:v>7334</c:v>
                </c:pt>
                <c:pt idx="4">
                  <c:v>10441</c:v>
                </c:pt>
                <c:pt idx="5">
                  <c:v>10248</c:v>
                </c:pt>
                <c:pt idx="6">
                  <c:v>12807</c:v>
                </c:pt>
                <c:pt idx="7">
                  <c:v>13446</c:v>
                </c:pt>
                <c:pt idx="8">
                  <c:v>15643</c:v>
                </c:pt>
                <c:pt idx="9">
                  <c:v>16805</c:v>
                </c:pt>
                <c:pt idx="10">
                  <c:v>19331</c:v>
                </c:pt>
                <c:pt idx="11">
                  <c:v>20920</c:v>
                </c:pt>
                <c:pt idx="12">
                  <c:v>22523</c:v>
                </c:pt>
                <c:pt idx="13">
                  <c:v>23825</c:v>
                </c:pt>
                <c:pt idx="14">
                  <c:v>26253</c:v>
                </c:pt>
                <c:pt idx="15">
                  <c:v>28251</c:v>
                </c:pt>
                <c:pt idx="16">
                  <c:v>29785</c:v>
                </c:pt>
                <c:pt idx="17">
                  <c:v>31716</c:v>
                </c:pt>
                <c:pt idx="18">
                  <c:v>33936</c:v>
                </c:pt>
                <c:pt idx="19">
                  <c:v>34667</c:v>
                </c:pt>
                <c:pt idx="20">
                  <c:v>36373</c:v>
                </c:pt>
                <c:pt idx="21">
                  <c:v>40066</c:v>
                </c:pt>
                <c:pt idx="22">
                  <c:v>41743</c:v>
                </c:pt>
                <c:pt idx="23">
                  <c:v>42741</c:v>
                </c:pt>
                <c:pt idx="24">
                  <c:v>47990</c:v>
                </c:pt>
                <c:pt idx="25">
                  <c:v>45129</c:v>
                </c:pt>
                <c:pt idx="26">
                  <c:v>49684</c:v>
                </c:pt>
                <c:pt idx="27">
                  <c:v>50417</c:v>
                </c:pt>
                <c:pt idx="28">
                  <c:v>51808</c:v>
                </c:pt>
                <c:pt idx="29">
                  <c:v>53945</c:v>
                </c:pt>
                <c:pt idx="30">
                  <c:v>57387</c:v>
                </c:pt>
                <c:pt idx="31">
                  <c:v>58469</c:v>
                </c:pt>
                <c:pt idx="32">
                  <c:v>58477</c:v>
                </c:pt>
                <c:pt idx="33">
                  <c:v>66560</c:v>
                </c:pt>
                <c:pt idx="34">
                  <c:v>63716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F55-4B51-A596-325D067163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6003464"/>
        <c:axId val="646000944"/>
      </c:scatterChart>
      <c:valAx>
        <c:axId val="646003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6000944"/>
        <c:crosses val="autoZero"/>
        <c:crossBetween val="midCat"/>
      </c:valAx>
      <c:valAx>
        <c:axId val="646000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6003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QuickSort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quick!$B$1</c:f>
              <c:strCache>
                <c:ptCount val="1"/>
                <c:pt idx="0">
                  <c:v>TIEMPO (us)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quick!$A$2:$A$36</c:f>
              <c:numCache>
                <c:formatCode>General</c:formatCode>
                <c:ptCount val="35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  <c:pt idx="10">
                  <c:v>110000</c:v>
                </c:pt>
                <c:pt idx="11">
                  <c:v>120000</c:v>
                </c:pt>
                <c:pt idx="12">
                  <c:v>130000</c:v>
                </c:pt>
                <c:pt idx="13">
                  <c:v>140000</c:v>
                </c:pt>
                <c:pt idx="14">
                  <c:v>150000</c:v>
                </c:pt>
                <c:pt idx="15">
                  <c:v>160000</c:v>
                </c:pt>
                <c:pt idx="16">
                  <c:v>170000</c:v>
                </c:pt>
                <c:pt idx="17">
                  <c:v>180000</c:v>
                </c:pt>
                <c:pt idx="18">
                  <c:v>190000</c:v>
                </c:pt>
                <c:pt idx="19">
                  <c:v>200000</c:v>
                </c:pt>
                <c:pt idx="20">
                  <c:v>210000</c:v>
                </c:pt>
                <c:pt idx="21">
                  <c:v>220000</c:v>
                </c:pt>
                <c:pt idx="22">
                  <c:v>230000</c:v>
                </c:pt>
                <c:pt idx="23">
                  <c:v>240000</c:v>
                </c:pt>
                <c:pt idx="24">
                  <c:v>250000</c:v>
                </c:pt>
                <c:pt idx="25">
                  <c:v>260000</c:v>
                </c:pt>
                <c:pt idx="26">
                  <c:v>270000</c:v>
                </c:pt>
                <c:pt idx="27">
                  <c:v>280000</c:v>
                </c:pt>
                <c:pt idx="28">
                  <c:v>290000</c:v>
                </c:pt>
                <c:pt idx="29">
                  <c:v>300000</c:v>
                </c:pt>
                <c:pt idx="30">
                  <c:v>310000</c:v>
                </c:pt>
                <c:pt idx="31">
                  <c:v>320000</c:v>
                </c:pt>
                <c:pt idx="32">
                  <c:v>330000</c:v>
                </c:pt>
                <c:pt idx="33">
                  <c:v>340000</c:v>
                </c:pt>
                <c:pt idx="34">
                  <c:v>350000</c:v>
                </c:pt>
              </c:numCache>
            </c:numRef>
          </c:xVal>
          <c:yVal>
            <c:numRef>
              <c:f>quick!$B$2:$B$36</c:f>
              <c:numCache>
                <c:formatCode>General</c:formatCode>
                <c:ptCount val="35"/>
                <c:pt idx="0">
                  <c:v>1003</c:v>
                </c:pt>
                <c:pt idx="1">
                  <c:v>2952</c:v>
                </c:pt>
                <c:pt idx="2">
                  <c:v>3718</c:v>
                </c:pt>
                <c:pt idx="3">
                  <c:v>9220</c:v>
                </c:pt>
                <c:pt idx="4">
                  <c:v>5301</c:v>
                </c:pt>
                <c:pt idx="5">
                  <c:v>6529</c:v>
                </c:pt>
                <c:pt idx="6">
                  <c:v>7499</c:v>
                </c:pt>
                <c:pt idx="7">
                  <c:v>8886</c:v>
                </c:pt>
                <c:pt idx="8">
                  <c:v>10237</c:v>
                </c:pt>
                <c:pt idx="9">
                  <c:v>11368</c:v>
                </c:pt>
                <c:pt idx="10">
                  <c:v>12458</c:v>
                </c:pt>
                <c:pt idx="11">
                  <c:v>13627</c:v>
                </c:pt>
                <c:pt idx="12">
                  <c:v>16349</c:v>
                </c:pt>
                <c:pt idx="13">
                  <c:v>16150</c:v>
                </c:pt>
                <c:pt idx="14">
                  <c:v>17418</c:v>
                </c:pt>
                <c:pt idx="15">
                  <c:v>18779</c:v>
                </c:pt>
                <c:pt idx="16">
                  <c:v>19597</c:v>
                </c:pt>
                <c:pt idx="17">
                  <c:v>22057</c:v>
                </c:pt>
                <c:pt idx="18">
                  <c:v>22544</c:v>
                </c:pt>
                <c:pt idx="19">
                  <c:v>24731</c:v>
                </c:pt>
                <c:pt idx="20">
                  <c:v>25635</c:v>
                </c:pt>
                <c:pt idx="21">
                  <c:v>28639</c:v>
                </c:pt>
                <c:pt idx="22">
                  <c:v>28901</c:v>
                </c:pt>
                <c:pt idx="23">
                  <c:v>30401</c:v>
                </c:pt>
                <c:pt idx="24">
                  <c:v>34376</c:v>
                </c:pt>
                <c:pt idx="25">
                  <c:v>33094</c:v>
                </c:pt>
                <c:pt idx="26">
                  <c:v>35910</c:v>
                </c:pt>
                <c:pt idx="27">
                  <c:v>34610</c:v>
                </c:pt>
                <c:pt idx="28">
                  <c:v>38177</c:v>
                </c:pt>
                <c:pt idx="29">
                  <c:v>39101</c:v>
                </c:pt>
                <c:pt idx="30">
                  <c:v>41682</c:v>
                </c:pt>
                <c:pt idx="31">
                  <c:v>42027</c:v>
                </c:pt>
                <c:pt idx="32">
                  <c:v>43238</c:v>
                </c:pt>
                <c:pt idx="33">
                  <c:v>45363</c:v>
                </c:pt>
                <c:pt idx="34">
                  <c:v>46987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14-4497-9A22-CFDCD74A0C1F}"/>
            </c:ext>
          </c:extLst>
        </c:ser>
        <c:ser>
          <c:idx val="1"/>
          <c:order val="1"/>
          <c:tx>
            <c:strRef>
              <c:f>quick!$E$1</c:f>
              <c:strCache>
                <c:ptCount val="1"/>
                <c:pt idx="0">
                  <c:v>TIEMPO TEORICO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quick!$A$2:$A$36</c:f>
              <c:numCache>
                <c:formatCode>General</c:formatCode>
                <c:ptCount val="35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  <c:pt idx="10">
                  <c:v>110000</c:v>
                </c:pt>
                <c:pt idx="11">
                  <c:v>120000</c:v>
                </c:pt>
                <c:pt idx="12">
                  <c:v>130000</c:v>
                </c:pt>
                <c:pt idx="13">
                  <c:v>140000</c:v>
                </c:pt>
                <c:pt idx="14">
                  <c:v>150000</c:v>
                </c:pt>
                <c:pt idx="15">
                  <c:v>160000</c:v>
                </c:pt>
                <c:pt idx="16">
                  <c:v>170000</c:v>
                </c:pt>
                <c:pt idx="17">
                  <c:v>180000</c:v>
                </c:pt>
                <c:pt idx="18">
                  <c:v>190000</c:v>
                </c:pt>
                <c:pt idx="19">
                  <c:v>200000</c:v>
                </c:pt>
                <c:pt idx="20">
                  <c:v>210000</c:v>
                </c:pt>
                <c:pt idx="21">
                  <c:v>220000</c:v>
                </c:pt>
                <c:pt idx="22">
                  <c:v>230000</c:v>
                </c:pt>
                <c:pt idx="23">
                  <c:v>240000</c:v>
                </c:pt>
                <c:pt idx="24">
                  <c:v>250000</c:v>
                </c:pt>
                <c:pt idx="25">
                  <c:v>260000</c:v>
                </c:pt>
                <c:pt idx="26">
                  <c:v>270000</c:v>
                </c:pt>
                <c:pt idx="27">
                  <c:v>280000</c:v>
                </c:pt>
                <c:pt idx="28">
                  <c:v>290000</c:v>
                </c:pt>
                <c:pt idx="29">
                  <c:v>300000</c:v>
                </c:pt>
                <c:pt idx="30">
                  <c:v>310000</c:v>
                </c:pt>
                <c:pt idx="31">
                  <c:v>320000</c:v>
                </c:pt>
                <c:pt idx="32">
                  <c:v>330000</c:v>
                </c:pt>
                <c:pt idx="33">
                  <c:v>340000</c:v>
                </c:pt>
                <c:pt idx="34">
                  <c:v>350000</c:v>
                </c:pt>
              </c:numCache>
            </c:numRef>
          </c:xVal>
          <c:yVal>
            <c:numRef>
              <c:f>quick!$E$2:$E$36</c:f>
              <c:numCache>
                <c:formatCode>0.00</c:formatCode>
                <c:ptCount val="35"/>
                <c:pt idx="0">
                  <c:v>982.50578992181897</c:v>
                </c:pt>
                <c:pt idx="1">
                  <c:v>2112.8934366836388</c:v>
                </c:pt>
                <c:pt idx="2">
                  <c:v>3299.0981662080808</c:v>
                </c:pt>
                <c:pt idx="3">
                  <c:v>4521.5505870472798</c:v>
                </c:pt>
                <c:pt idx="4">
                  <c:v>5770.9565449113661</c:v>
                </c:pt>
                <c:pt idx="5">
                  <c:v>7041.8419029361639</c:v>
                </c:pt>
                <c:pt idx="6">
                  <c:v>8330.5895348425129</c:v>
                </c:pt>
                <c:pt idx="7">
                  <c:v>9634.6286014545603</c:v>
                </c:pt>
                <c:pt idx="8">
                  <c:v>10952.036887952112</c:v>
                </c:pt>
                <c:pt idx="9">
                  <c:v>12281.322374022737</c:v>
                </c:pt>
                <c:pt idx="10">
                  <c:v>13621.293131703022</c:v>
                </c:pt>
                <c:pt idx="11">
                  <c:v>14970.974946912333</c:v>
                </c:pt>
                <c:pt idx="12">
                  <c:v>16329.556597164406</c:v>
                </c:pt>
                <c:pt idx="13">
                  <c:v>17696.352067565029</c:v>
                </c:pt>
                <c:pt idx="14">
                  <c:v>19070.773616947219</c:v>
                </c:pt>
                <c:pt idx="15">
                  <c:v>20452.312057629129</c:v>
                </c:pt>
                <c:pt idx="16">
                  <c:v>21840.52198386407</c:v>
                </c:pt>
                <c:pt idx="17">
                  <c:v>23235.010487464231</c:v>
                </c:pt>
                <c:pt idx="18">
                  <c:v>24635.428388407327</c:v>
                </c:pt>
                <c:pt idx="19">
                  <c:v>26041.463316445483</c:v>
                </c:pt>
                <c:pt idx="20">
                  <c:v>27452.834179625905</c:v>
                </c:pt>
                <c:pt idx="21">
                  <c:v>28869.286688646051</c:v>
                </c:pt>
                <c:pt idx="22">
                  <c:v>30290.589696515555</c:v>
                </c:pt>
                <c:pt idx="23">
                  <c:v>31716.532175904675</c:v>
                </c:pt>
                <c:pt idx="24">
                  <c:v>33146.920701068186</c:v>
                </c:pt>
                <c:pt idx="25">
                  <c:v>34581.577333248824</c:v>
                </c:pt>
                <c:pt idx="26">
                  <c:v>36020.337831839948</c:v>
                </c:pt>
                <c:pt idx="27">
                  <c:v>37463.050130890071</c:v>
                </c:pt>
                <c:pt idx="28">
                  <c:v>38909.573033499808</c:v>
                </c:pt>
                <c:pt idx="29">
                  <c:v>40359.775086494446</c:v>
                </c:pt>
                <c:pt idx="30">
                  <c:v>41813.533605289718</c:v>
                </c:pt>
                <c:pt idx="31">
                  <c:v>43270.733824698269</c:v>
                </c:pt>
                <c:pt idx="32">
                  <c:v>44731.268155977916</c:v>
                </c:pt>
                <c:pt idx="33">
                  <c:v>46195.035534008159</c:v>
                </c:pt>
                <c:pt idx="34">
                  <c:v>47661.940841328462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14-4497-9A22-CFDCD74A0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0061768"/>
        <c:axId val="680060328"/>
      </c:scatterChart>
      <c:valAx>
        <c:axId val="680061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80060328"/>
        <c:crosses val="autoZero"/>
        <c:crossBetween val="midCat"/>
      </c:valAx>
      <c:valAx>
        <c:axId val="680060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800617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QuickSort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quick!$B$1</c:f>
              <c:strCache>
                <c:ptCount val="1"/>
                <c:pt idx="0">
                  <c:v>TIEMPO (us)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quick!$A$2:$A$36</c:f>
              <c:numCache>
                <c:formatCode>General</c:formatCode>
                <c:ptCount val="35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  <c:pt idx="10">
                  <c:v>110000</c:v>
                </c:pt>
                <c:pt idx="11">
                  <c:v>120000</c:v>
                </c:pt>
                <c:pt idx="12">
                  <c:v>130000</c:v>
                </c:pt>
                <c:pt idx="13">
                  <c:v>140000</c:v>
                </c:pt>
                <c:pt idx="14">
                  <c:v>150000</c:v>
                </c:pt>
                <c:pt idx="15">
                  <c:v>160000</c:v>
                </c:pt>
                <c:pt idx="16">
                  <c:v>170000</c:v>
                </c:pt>
                <c:pt idx="17">
                  <c:v>180000</c:v>
                </c:pt>
                <c:pt idx="18">
                  <c:v>190000</c:v>
                </c:pt>
                <c:pt idx="19">
                  <c:v>200000</c:v>
                </c:pt>
                <c:pt idx="20">
                  <c:v>210000</c:v>
                </c:pt>
                <c:pt idx="21">
                  <c:v>220000</c:v>
                </c:pt>
                <c:pt idx="22">
                  <c:v>230000</c:v>
                </c:pt>
                <c:pt idx="23">
                  <c:v>240000</c:v>
                </c:pt>
                <c:pt idx="24">
                  <c:v>250000</c:v>
                </c:pt>
                <c:pt idx="25">
                  <c:v>260000</c:v>
                </c:pt>
                <c:pt idx="26">
                  <c:v>270000</c:v>
                </c:pt>
                <c:pt idx="27">
                  <c:v>280000</c:v>
                </c:pt>
                <c:pt idx="28">
                  <c:v>290000</c:v>
                </c:pt>
                <c:pt idx="29">
                  <c:v>300000</c:v>
                </c:pt>
                <c:pt idx="30">
                  <c:v>310000</c:v>
                </c:pt>
                <c:pt idx="31">
                  <c:v>320000</c:v>
                </c:pt>
                <c:pt idx="32">
                  <c:v>330000</c:v>
                </c:pt>
                <c:pt idx="33">
                  <c:v>340000</c:v>
                </c:pt>
                <c:pt idx="34">
                  <c:v>350000</c:v>
                </c:pt>
              </c:numCache>
            </c:numRef>
          </c:xVal>
          <c:yVal>
            <c:numRef>
              <c:f>quick!$B$2:$B$36</c:f>
              <c:numCache>
                <c:formatCode>General</c:formatCode>
                <c:ptCount val="35"/>
                <c:pt idx="0">
                  <c:v>1003</c:v>
                </c:pt>
                <c:pt idx="1">
                  <c:v>2952</c:v>
                </c:pt>
                <c:pt idx="2">
                  <c:v>3718</c:v>
                </c:pt>
                <c:pt idx="3">
                  <c:v>9220</c:v>
                </c:pt>
                <c:pt idx="4">
                  <c:v>5301</c:v>
                </c:pt>
                <c:pt idx="5">
                  <c:v>6529</c:v>
                </c:pt>
                <c:pt idx="6">
                  <c:v>7499</c:v>
                </c:pt>
                <c:pt idx="7">
                  <c:v>8886</c:v>
                </c:pt>
                <c:pt idx="8">
                  <c:v>10237</c:v>
                </c:pt>
                <c:pt idx="9">
                  <c:v>11368</c:v>
                </c:pt>
                <c:pt idx="10">
                  <c:v>12458</c:v>
                </c:pt>
                <c:pt idx="11">
                  <c:v>13627</c:v>
                </c:pt>
                <c:pt idx="12">
                  <c:v>16349</c:v>
                </c:pt>
                <c:pt idx="13">
                  <c:v>16150</c:v>
                </c:pt>
                <c:pt idx="14">
                  <c:v>17418</c:v>
                </c:pt>
                <c:pt idx="15">
                  <c:v>18779</c:v>
                </c:pt>
                <c:pt idx="16">
                  <c:v>19597</c:v>
                </c:pt>
                <c:pt idx="17">
                  <c:v>22057</c:v>
                </c:pt>
                <c:pt idx="18">
                  <c:v>22544</c:v>
                </c:pt>
                <c:pt idx="19">
                  <c:v>24731</c:v>
                </c:pt>
                <c:pt idx="20">
                  <c:v>25635</c:v>
                </c:pt>
                <c:pt idx="21">
                  <c:v>28639</c:v>
                </c:pt>
                <c:pt idx="22">
                  <c:v>28901</c:v>
                </c:pt>
                <c:pt idx="23">
                  <c:v>30401</c:v>
                </c:pt>
                <c:pt idx="24">
                  <c:v>34376</c:v>
                </c:pt>
                <c:pt idx="25">
                  <c:v>33094</c:v>
                </c:pt>
                <c:pt idx="26">
                  <c:v>35910</c:v>
                </c:pt>
                <c:pt idx="27">
                  <c:v>34610</c:v>
                </c:pt>
                <c:pt idx="28">
                  <c:v>38177</c:v>
                </c:pt>
                <c:pt idx="29">
                  <c:v>39101</c:v>
                </c:pt>
                <c:pt idx="30">
                  <c:v>41682</c:v>
                </c:pt>
                <c:pt idx="31">
                  <c:v>42027</c:v>
                </c:pt>
                <c:pt idx="32">
                  <c:v>43238</c:v>
                </c:pt>
                <c:pt idx="33">
                  <c:v>45363</c:v>
                </c:pt>
                <c:pt idx="34">
                  <c:v>46987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208-4C57-9C46-D8927A08E87B}"/>
            </c:ext>
          </c:extLst>
        </c:ser>
        <c:ser>
          <c:idx val="1"/>
          <c:order val="1"/>
          <c:tx>
            <c:strRef>
              <c:f>quick!$E$1</c:f>
              <c:strCache>
                <c:ptCount val="1"/>
                <c:pt idx="0">
                  <c:v>TIEMPO TEORICO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quick!$A$2:$A$36</c:f>
              <c:numCache>
                <c:formatCode>General</c:formatCode>
                <c:ptCount val="35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  <c:pt idx="10">
                  <c:v>110000</c:v>
                </c:pt>
                <c:pt idx="11">
                  <c:v>120000</c:v>
                </c:pt>
                <c:pt idx="12">
                  <c:v>130000</c:v>
                </c:pt>
                <c:pt idx="13">
                  <c:v>140000</c:v>
                </c:pt>
                <c:pt idx="14">
                  <c:v>150000</c:v>
                </c:pt>
                <c:pt idx="15">
                  <c:v>160000</c:v>
                </c:pt>
                <c:pt idx="16">
                  <c:v>170000</c:v>
                </c:pt>
                <c:pt idx="17">
                  <c:v>180000</c:v>
                </c:pt>
                <c:pt idx="18">
                  <c:v>190000</c:v>
                </c:pt>
                <c:pt idx="19">
                  <c:v>200000</c:v>
                </c:pt>
                <c:pt idx="20">
                  <c:v>210000</c:v>
                </c:pt>
                <c:pt idx="21">
                  <c:v>220000</c:v>
                </c:pt>
                <c:pt idx="22">
                  <c:v>230000</c:v>
                </c:pt>
                <c:pt idx="23">
                  <c:v>240000</c:v>
                </c:pt>
                <c:pt idx="24">
                  <c:v>250000</c:v>
                </c:pt>
                <c:pt idx="25">
                  <c:v>260000</c:v>
                </c:pt>
                <c:pt idx="26">
                  <c:v>270000</c:v>
                </c:pt>
                <c:pt idx="27">
                  <c:v>280000</c:v>
                </c:pt>
                <c:pt idx="28">
                  <c:v>290000</c:v>
                </c:pt>
                <c:pt idx="29">
                  <c:v>300000</c:v>
                </c:pt>
                <c:pt idx="30">
                  <c:v>310000</c:v>
                </c:pt>
                <c:pt idx="31">
                  <c:v>320000</c:v>
                </c:pt>
                <c:pt idx="32">
                  <c:v>330000</c:v>
                </c:pt>
                <c:pt idx="33">
                  <c:v>340000</c:v>
                </c:pt>
                <c:pt idx="34">
                  <c:v>350000</c:v>
                </c:pt>
              </c:numCache>
            </c:numRef>
          </c:xVal>
          <c:yVal>
            <c:numRef>
              <c:f>quick!$E$2:$E$36</c:f>
              <c:numCache>
                <c:formatCode>0.00</c:formatCode>
                <c:ptCount val="35"/>
                <c:pt idx="0">
                  <c:v>982.50578992181897</c:v>
                </c:pt>
                <c:pt idx="1">
                  <c:v>2112.8934366836388</c:v>
                </c:pt>
                <c:pt idx="2">
                  <c:v>3299.0981662080808</c:v>
                </c:pt>
                <c:pt idx="3">
                  <c:v>4521.5505870472798</c:v>
                </c:pt>
                <c:pt idx="4">
                  <c:v>5770.9565449113661</c:v>
                </c:pt>
                <c:pt idx="5">
                  <c:v>7041.8419029361639</c:v>
                </c:pt>
                <c:pt idx="6">
                  <c:v>8330.5895348425129</c:v>
                </c:pt>
                <c:pt idx="7">
                  <c:v>9634.6286014545603</c:v>
                </c:pt>
                <c:pt idx="8">
                  <c:v>10952.036887952112</c:v>
                </c:pt>
                <c:pt idx="9">
                  <c:v>12281.322374022737</c:v>
                </c:pt>
                <c:pt idx="10">
                  <c:v>13621.293131703022</c:v>
                </c:pt>
                <c:pt idx="11">
                  <c:v>14970.974946912333</c:v>
                </c:pt>
                <c:pt idx="12">
                  <c:v>16329.556597164406</c:v>
                </c:pt>
                <c:pt idx="13">
                  <c:v>17696.352067565029</c:v>
                </c:pt>
                <c:pt idx="14">
                  <c:v>19070.773616947219</c:v>
                </c:pt>
                <c:pt idx="15">
                  <c:v>20452.312057629129</c:v>
                </c:pt>
                <c:pt idx="16">
                  <c:v>21840.52198386407</c:v>
                </c:pt>
                <c:pt idx="17">
                  <c:v>23235.010487464231</c:v>
                </c:pt>
                <c:pt idx="18">
                  <c:v>24635.428388407327</c:v>
                </c:pt>
                <c:pt idx="19">
                  <c:v>26041.463316445483</c:v>
                </c:pt>
                <c:pt idx="20">
                  <c:v>27452.834179625905</c:v>
                </c:pt>
                <c:pt idx="21">
                  <c:v>28869.286688646051</c:v>
                </c:pt>
                <c:pt idx="22">
                  <c:v>30290.589696515555</c:v>
                </c:pt>
                <c:pt idx="23">
                  <c:v>31716.532175904675</c:v>
                </c:pt>
                <c:pt idx="24">
                  <c:v>33146.920701068186</c:v>
                </c:pt>
                <c:pt idx="25">
                  <c:v>34581.577333248824</c:v>
                </c:pt>
                <c:pt idx="26">
                  <c:v>36020.337831839948</c:v>
                </c:pt>
                <c:pt idx="27">
                  <c:v>37463.050130890071</c:v>
                </c:pt>
                <c:pt idx="28">
                  <c:v>38909.573033499808</c:v>
                </c:pt>
                <c:pt idx="29">
                  <c:v>40359.775086494446</c:v>
                </c:pt>
                <c:pt idx="30">
                  <c:v>41813.533605289718</c:v>
                </c:pt>
                <c:pt idx="31">
                  <c:v>43270.733824698269</c:v>
                </c:pt>
                <c:pt idx="32">
                  <c:v>44731.268155977916</c:v>
                </c:pt>
                <c:pt idx="33">
                  <c:v>46195.035534008159</c:v>
                </c:pt>
                <c:pt idx="34">
                  <c:v>47661.940841328462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208-4C57-9C46-D8927A08E87B}"/>
            </c:ext>
          </c:extLst>
        </c:ser>
        <c:ser>
          <c:idx val="2"/>
          <c:order val="2"/>
          <c:tx>
            <c:strRef>
              <c:f>quick!$H$1</c:f>
              <c:strCache>
                <c:ptCount val="1"/>
                <c:pt idx="0">
                  <c:v>TIEMPO ORDENADO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quick!$G$2:$G$33</c:f>
              <c:numCache>
                <c:formatCode>General</c:formatCode>
                <c:ptCount val="32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</c:numCache>
            </c:numRef>
          </c:xVal>
          <c:yVal>
            <c:numRef>
              <c:f>quick!$H$2:$H$33</c:f>
              <c:numCache>
                <c:formatCode>General</c:formatCode>
                <c:ptCount val="32"/>
                <c:pt idx="0">
                  <c:v>1955</c:v>
                </c:pt>
                <c:pt idx="1">
                  <c:v>8535</c:v>
                </c:pt>
                <c:pt idx="2">
                  <c:v>18001</c:v>
                </c:pt>
                <c:pt idx="3">
                  <c:v>29865</c:v>
                </c:pt>
                <c:pt idx="4">
                  <c:v>49041</c:v>
                </c:pt>
                <c:pt idx="5">
                  <c:v>66204</c:v>
                </c:pt>
                <c:pt idx="6">
                  <c:v>91132</c:v>
                </c:pt>
                <c:pt idx="7">
                  <c:v>119636</c:v>
                </c:pt>
                <c:pt idx="8">
                  <c:v>150762</c:v>
                </c:pt>
                <c:pt idx="9">
                  <c:v>188045</c:v>
                </c:pt>
                <c:pt idx="10">
                  <c:v>225598</c:v>
                </c:pt>
                <c:pt idx="11">
                  <c:v>270066</c:v>
                </c:pt>
                <c:pt idx="12">
                  <c:v>313307</c:v>
                </c:pt>
                <c:pt idx="13">
                  <c:v>363336</c:v>
                </c:pt>
                <c:pt idx="14">
                  <c:v>417552</c:v>
                </c:pt>
                <c:pt idx="15">
                  <c:v>473873</c:v>
                </c:pt>
                <c:pt idx="16">
                  <c:v>533216</c:v>
                </c:pt>
                <c:pt idx="17">
                  <c:v>603031</c:v>
                </c:pt>
                <c:pt idx="18">
                  <c:v>664946</c:v>
                </c:pt>
                <c:pt idx="19">
                  <c:v>742333</c:v>
                </c:pt>
                <c:pt idx="20">
                  <c:v>821042</c:v>
                </c:pt>
                <c:pt idx="21">
                  <c:v>899234</c:v>
                </c:pt>
                <c:pt idx="22">
                  <c:v>984769</c:v>
                </c:pt>
                <c:pt idx="23">
                  <c:v>1073926</c:v>
                </c:pt>
                <c:pt idx="24">
                  <c:v>1166313</c:v>
                </c:pt>
                <c:pt idx="25">
                  <c:v>1246657</c:v>
                </c:pt>
                <c:pt idx="26">
                  <c:v>1359774</c:v>
                </c:pt>
                <c:pt idx="27">
                  <c:v>1452754</c:v>
                </c:pt>
                <c:pt idx="28">
                  <c:v>1553013</c:v>
                </c:pt>
                <c:pt idx="29">
                  <c:v>1659460</c:v>
                </c:pt>
                <c:pt idx="30">
                  <c:v>1778621</c:v>
                </c:pt>
                <c:pt idx="31">
                  <c:v>1897804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208-4C57-9C46-D8927A08E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0061768"/>
        <c:axId val="680060328"/>
      </c:scatterChart>
      <c:valAx>
        <c:axId val="680061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80060328"/>
        <c:crosses val="autoZero"/>
        <c:crossBetween val="midCat"/>
      </c:valAx>
      <c:valAx>
        <c:axId val="680060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800617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Comparación</a:t>
            </a:r>
            <a:r>
              <a:rPr lang="es-ES" baseline="0"/>
              <a:t> algoritmos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comparacion!$B$1</c:f>
              <c:strCache>
                <c:ptCount val="1"/>
                <c:pt idx="0">
                  <c:v>TIEMPO-Merge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comparacion!$A$2:$A$36</c:f>
              <c:numCache>
                <c:formatCode>General</c:formatCode>
                <c:ptCount val="35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  <c:pt idx="10">
                  <c:v>110000</c:v>
                </c:pt>
                <c:pt idx="11">
                  <c:v>120000</c:v>
                </c:pt>
                <c:pt idx="12">
                  <c:v>130000</c:v>
                </c:pt>
                <c:pt idx="13">
                  <c:v>140000</c:v>
                </c:pt>
                <c:pt idx="14">
                  <c:v>150000</c:v>
                </c:pt>
                <c:pt idx="15">
                  <c:v>160000</c:v>
                </c:pt>
                <c:pt idx="16">
                  <c:v>170000</c:v>
                </c:pt>
                <c:pt idx="17">
                  <c:v>180000</c:v>
                </c:pt>
                <c:pt idx="18">
                  <c:v>190000</c:v>
                </c:pt>
                <c:pt idx="19">
                  <c:v>200000</c:v>
                </c:pt>
                <c:pt idx="20">
                  <c:v>210000</c:v>
                </c:pt>
                <c:pt idx="21">
                  <c:v>220000</c:v>
                </c:pt>
                <c:pt idx="22">
                  <c:v>230000</c:v>
                </c:pt>
                <c:pt idx="23">
                  <c:v>240000</c:v>
                </c:pt>
                <c:pt idx="24">
                  <c:v>250000</c:v>
                </c:pt>
                <c:pt idx="25">
                  <c:v>260000</c:v>
                </c:pt>
                <c:pt idx="26">
                  <c:v>270000</c:v>
                </c:pt>
                <c:pt idx="27">
                  <c:v>280000</c:v>
                </c:pt>
                <c:pt idx="28">
                  <c:v>290000</c:v>
                </c:pt>
                <c:pt idx="29">
                  <c:v>300000</c:v>
                </c:pt>
                <c:pt idx="30">
                  <c:v>310000</c:v>
                </c:pt>
                <c:pt idx="31">
                  <c:v>320000</c:v>
                </c:pt>
                <c:pt idx="32">
                  <c:v>330000</c:v>
                </c:pt>
                <c:pt idx="33">
                  <c:v>340000</c:v>
                </c:pt>
                <c:pt idx="34">
                  <c:v>350000</c:v>
                </c:pt>
              </c:numCache>
            </c:numRef>
          </c:xVal>
          <c:yVal>
            <c:numRef>
              <c:f>comparacion!$B$2:$B$36</c:f>
              <c:numCache>
                <c:formatCode>General</c:formatCode>
                <c:ptCount val="35"/>
                <c:pt idx="0">
                  <c:v>2666</c:v>
                </c:pt>
                <c:pt idx="1">
                  <c:v>6382</c:v>
                </c:pt>
                <c:pt idx="2">
                  <c:v>7306</c:v>
                </c:pt>
                <c:pt idx="3">
                  <c:v>10186</c:v>
                </c:pt>
                <c:pt idx="4">
                  <c:v>12490</c:v>
                </c:pt>
                <c:pt idx="5">
                  <c:v>15758</c:v>
                </c:pt>
                <c:pt idx="6">
                  <c:v>17252</c:v>
                </c:pt>
                <c:pt idx="7">
                  <c:v>19471</c:v>
                </c:pt>
                <c:pt idx="8">
                  <c:v>23714</c:v>
                </c:pt>
                <c:pt idx="9">
                  <c:v>24696</c:v>
                </c:pt>
                <c:pt idx="10">
                  <c:v>27595</c:v>
                </c:pt>
                <c:pt idx="11">
                  <c:v>30894</c:v>
                </c:pt>
                <c:pt idx="12">
                  <c:v>35876</c:v>
                </c:pt>
                <c:pt idx="13">
                  <c:v>37812</c:v>
                </c:pt>
                <c:pt idx="14">
                  <c:v>40721</c:v>
                </c:pt>
                <c:pt idx="15">
                  <c:v>45301</c:v>
                </c:pt>
                <c:pt idx="16">
                  <c:v>43627</c:v>
                </c:pt>
                <c:pt idx="17">
                  <c:v>45962</c:v>
                </c:pt>
                <c:pt idx="18">
                  <c:v>51853</c:v>
                </c:pt>
                <c:pt idx="19">
                  <c:v>51899</c:v>
                </c:pt>
                <c:pt idx="20">
                  <c:v>54286</c:v>
                </c:pt>
                <c:pt idx="21">
                  <c:v>57979</c:v>
                </c:pt>
                <c:pt idx="22">
                  <c:v>61517</c:v>
                </c:pt>
                <c:pt idx="23">
                  <c:v>61245</c:v>
                </c:pt>
                <c:pt idx="24">
                  <c:v>69429</c:v>
                </c:pt>
                <c:pt idx="25">
                  <c:v>67626</c:v>
                </c:pt>
                <c:pt idx="26">
                  <c:v>71582</c:v>
                </c:pt>
                <c:pt idx="27">
                  <c:v>74553</c:v>
                </c:pt>
                <c:pt idx="28">
                  <c:v>78696</c:v>
                </c:pt>
                <c:pt idx="29">
                  <c:v>79544</c:v>
                </c:pt>
                <c:pt idx="30">
                  <c:v>81769</c:v>
                </c:pt>
                <c:pt idx="31">
                  <c:v>85105</c:v>
                </c:pt>
                <c:pt idx="32">
                  <c:v>92620</c:v>
                </c:pt>
                <c:pt idx="33">
                  <c:v>92714</c:v>
                </c:pt>
                <c:pt idx="34">
                  <c:v>92682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C0-43ED-A6C4-015AAC0A7198}"/>
            </c:ext>
          </c:extLst>
        </c:ser>
        <c:ser>
          <c:idx val="1"/>
          <c:order val="1"/>
          <c:tx>
            <c:strRef>
              <c:f>comparacion!$C$1</c:f>
              <c:strCache>
                <c:ptCount val="1"/>
                <c:pt idx="0">
                  <c:v>TIEMPO-Quick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comparacion!$A$2:$A$36</c:f>
              <c:numCache>
                <c:formatCode>General</c:formatCode>
                <c:ptCount val="35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  <c:pt idx="10">
                  <c:v>110000</c:v>
                </c:pt>
                <c:pt idx="11">
                  <c:v>120000</c:v>
                </c:pt>
                <c:pt idx="12">
                  <c:v>130000</c:v>
                </c:pt>
                <c:pt idx="13">
                  <c:v>140000</c:v>
                </c:pt>
                <c:pt idx="14">
                  <c:v>150000</c:v>
                </c:pt>
                <c:pt idx="15">
                  <c:v>160000</c:v>
                </c:pt>
                <c:pt idx="16">
                  <c:v>170000</c:v>
                </c:pt>
                <c:pt idx="17">
                  <c:v>180000</c:v>
                </c:pt>
                <c:pt idx="18">
                  <c:v>190000</c:v>
                </c:pt>
                <c:pt idx="19">
                  <c:v>200000</c:v>
                </c:pt>
                <c:pt idx="20">
                  <c:v>210000</c:v>
                </c:pt>
                <c:pt idx="21">
                  <c:v>220000</c:v>
                </c:pt>
                <c:pt idx="22">
                  <c:v>230000</c:v>
                </c:pt>
                <c:pt idx="23">
                  <c:v>240000</c:v>
                </c:pt>
                <c:pt idx="24">
                  <c:v>250000</c:v>
                </c:pt>
                <c:pt idx="25">
                  <c:v>260000</c:v>
                </c:pt>
                <c:pt idx="26">
                  <c:v>270000</c:v>
                </c:pt>
                <c:pt idx="27">
                  <c:v>280000</c:v>
                </c:pt>
                <c:pt idx="28">
                  <c:v>290000</c:v>
                </c:pt>
                <c:pt idx="29">
                  <c:v>300000</c:v>
                </c:pt>
                <c:pt idx="30">
                  <c:v>310000</c:v>
                </c:pt>
                <c:pt idx="31">
                  <c:v>320000</c:v>
                </c:pt>
                <c:pt idx="32">
                  <c:v>330000</c:v>
                </c:pt>
                <c:pt idx="33">
                  <c:v>340000</c:v>
                </c:pt>
                <c:pt idx="34">
                  <c:v>350000</c:v>
                </c:pt>
              </c:numCache>
            </c:numRef>
          </c:xVal>
          <c:yVal>
            <c:numRef>
              <c:f>comparacion!$C$2:$C$36</c:f>
              <c:numCache>
                <c:formatCode>General</c:formatCode>
                <c:ptCount val="35"/>
                <c:pt idx="0">
                  <c:v>1003</c:v>
                </c:pt>
                <c:pt idx="1">
                  <c:v>2952</c:v>
                </c:pt>
                <c:pt idx="2">
                  <c:v>3718</c:v>
                </c:pt>
                <c:pt idx="3">
                  <c:v>9220</c:v>
                </c:pt>
                <c:pt idx="4">
                  <c:v>5301</c:v>
                </c:pt>
                <c:pt idx="5">
                  <c:v>6529</c:v>
                </c:pt>
                <c:pt idx="6">
                  <c:v>7499</c:v>
                </c:pt>
                <c:pt idx="7">
                  <c:v>8886</c:v>
                </c:pt>
                <c:pt idx="8">
                  <c:v>10237</c:v>
                </c:pt>
                <c:pt idx="9">
                  <c:v>11368</c:v>
                </c:pt>
                <c:pt idx="10">
                  <c:v>12458</c:v>
                </c:pt>
                <c:pt idx="11">
                  <c:v>13627</c:v>
                </c:pt>
                <c:pt idx="12">
                  <c:v>16349</c:v>
                </c:pt>
                <c:pt idx="13">
                  <c:v>16150</c:v>
                </c:pt>
                <c:pt idx="14">
                  <c:v>17418</c:v>
                </c:pt>
                <c:pt idx="15">
                  <c:v>18779</c:v>
                </c:pt>
                <c:pt idx="16">
                  <c:v>19597</c:v>
                </c:pt>
                <c:pt idx="17">
                  <c:v>22057</c:v>
                </c:pt>
                <c:pt idx="18">
                  <c:v>22544</c:v>
                </c:pt>
                <c:pt idx="19">
                  <c:v>24731</c:v>
                </c:pt>
                <c:pt idx="20">
                  <c:v>25635</c:v>
                </c:pt>
                <c:pt idx="21">
                  <c:v>28639</c:v>
                </c:pt>
                <c:pt idx="22">
                  <c:v>28901</c:v>
                </c:pt>
                <c:pt idx="23">
                  <c:v>30401</c:v>
                </c:pt>
                <c:pt idx="24">
                  <c:v>34376</c:v>
                </c:pt>
                <c:pt idx="25">
                  <c:v>33094</c:v>
                </c:pt>
                <c:pt idx="26">
                  <c:v>35910</c:v>
                </c:pt>
                <c:pt idx="27">
                  <c:v>34610</c:v>
                </c:pt>
                <c:pt idx="28">
                  <c:v>38177</c:v>
                </c:pt>
                <c:pt idx="29">
                  <c:v>39101</c:v>
                </c:pt>
                <c:pt idx="30">
                  <c:v>41682</c:v>
                </c:pt>
                <c:pt idx="31">
                  <c:v>42027</c:v>
                </c:pt>
                <c:pt idx="32">
                  <c:v>43238</c:v>
                </c:pt>
                <c:pt idx="33">
                  <c:v>45363</c:v>
                </c:pt>
                <c:pt idx="34">
                  <c:v>46987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C0-43ED-A6C4-015AAC0A7198}"/>
            </c:ext>
          </c:extLst>
        </c:ser>
        <c:ser>
          <c:idx val="2"/>
          <c:order val="2"/>
          <c:tx>
            <c:strRef>
              <c:f>comparacion!$F$1</c:f>
              <c:strCache>
                <c:ptCount val="1"/>
                <c:pt idx="0">
                  <c:v>TIEMPO-Bubble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comparacion!$E$2:$E$36</c:f>
              <c:numCache>
                <c:formatCode>General</c:formatCode>
                <c:ptCount val="3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</c:numCache>
            </c:numRef>
          </c:xVal>
          <c:yVal>
            <c:numRef>
              <c:f>comparacion!$F$2:$F$36</c:f>
              <c:numCache>
                <c:formatCode>General</c:formatCode>
                <c:ptCount val="35"/>
                <c:pt idx="0">
                  <c:v>2338</c:v>
                </c:pt>
                <c:pt idx="1">
                  <c:v>8862</c:v>
                </c:pt>
                <c:pt idx="2">
                  <c:v>21128</c:v>
                </c:pt>
                <c:pt idx="3">
                  <c:v>36625</c:v>
                </c:pt>
                <c:pt idx="4">
                  <c:v>58964</c:v>
                </c:pt>
                <c:pt idx="5">
                  <c:v>89837</c:v>
                </c:pt>
                <c:pt idx="6">
                  <c:v>126509</c:v>
                </c:pt>
                <c:pt idx="7">
                  <c:v>172619</c:v>
                </c:pt>
                <c:pt idx="8">
                  <c:v>206162</c:v>
                </c:pt>
                <c:pt idx="9">
                  <c:v>257846</c:v>
                </c:pt>
                <c:pt idx="10">
                  <c:v>320095</c:v>
                </c:pt>
                <c:pt idx="11">
                  <c:v>383531</c:v>
                </c:pt>
                <c:pt idx="12">
                  <c:v>448301</c:v>
                </c:pt>
                <c:pt idx="13">
                  <c:v>510758</c:v>
                </c:pt>
                <c:pt idx="14">
                  <c:v>597212</c:v>
                </c:pt>
                <c:pt idx="15">
                  <c:v>680927</c:v>
                </c:pt>
                <c:pt idx="16">
                  <c:v>762225</c:v>
                </c:pt>
                <c:pt idx="17">
                  <c:v>857677</c:v>
                </c:pt>
                <c:pt idx="18">
                  <c:v>960859</c:v>
                </c:pt>
                <c:pt idx="19">
                  <c:v>1061429</c:v>
                </c:pt>
                <c:pt idx="20">
                  <c:v>1170663</c:v>
                </c:pt>
                <c:pt idx="21">
                  <c:v>1284151</c:v>
                </c:pt>
                <c:pt idx="22">
                  <c:v>1415770</c:v>
                </c:pt>
                <c:pt idx="23">
                  <c:v>1533342</c:v>
                </c:pt>
                <c:pt idx="24">
                  <c:v>1674880</c:v>
                </c:pt>
                <c:pt idx="25">
                  <c:v>1808805</c:v>
                </c:pt>
                <c:pt idx="26">
                  <c:v>1960424</c:v>
                </c:pt>
                <c:pt idx="27">
                  <c:v>2105079</c:v>
                </c:pt>
                <c:pt idx="28">
                  <c:v>2264073</c:v>
                </c:pt>
                <c:pt idx="29">
                  <c:v>2410573</c:v>
                </c:pt>
                <c:pt idx="30">
                  <c:v>2580920</c:v>
                </c:pt>
                <c:pt idx="31">
                  <c:v>2758535</c:v>
                </c:pt>
                <c:pt idx="32">
                  <c:v>2931504</c:v>
                </c:pt>
                <c:pt idx="33">
                  <c:v>3120316</c:v>
                </c:pt>
                <c:pt idx="34">
                  <c:v>3313908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6C0-43ED-A6C4-015AAC0A71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6731048"/>
        <c:axId val="686727808"/>
      </c:scatterChart>
      <c:valAx>
        <c:axId val="686731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86727808"/>
        <c:crosses val="autoZero"/>
        <c:crossBetween val="midCat"/>
      </c:valAx>
      <c:valAx>
        <c:axId val="68672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867310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Comparación</a:t>
            </a:r>
            <a:r>
              <a:rPr lang="es-ES" baseline="0"/>
              <a:t> algoritmos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comparacion!$B$1</c:f>
              <c:strCache>
                <c:ptCount val="1"/>
                <c:pt idx="0">
                  <c:v>TIEMPO-Merge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comparacion!$A$2:$A$36</c:f>
              <c:numCache>
                <c:formatCode>General</c:formatCode>
                <c:ptCount val="35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  <c:pt idx="10">
                  <c:v>110000</c:v>
                </c:pt>
                <c:pt idx="11">
                  <c:v>120000</c:v>
                </c:pt>
                <c:pt idx="12">
                  <c:v>130000</c:v>
                </c:pt>
                <c:pt idx="13">
                  <c:v>140000</c:v>
                </c:pt>
                <c:pt idx="14">
                  <c:v>150000</c:v>
                </c:pt>
                <c:pt idx="15">
                  <c:v>160000</c:v>
                </c:pt>
                <c:pt idx="16">
                  <c:v>170000</c:v>
                </c:pt>
                <c:pt idx="17">
                  <c:v>180000</c:v>
                </c:pt>
                <c:pt idx="18">
                  <c:v>190000</c:v>
                </c:pt>
                <c:pt idx="19">
                  <c:v>200000</c:v>
                </c:pt>
                <c:pt idx="20">
                  <c:v>210000</c:v>
                </c:pt>
                <c:pt idx="21">
                  <c:v>220000</c:v>
                </c:pt>
                <c:pt idx="22">
                  <c:v>230000</c:v>
                </c:pt>
                <c:pt idx="23">
                  <c:v>240000</c:v>
                </c:pt>
                <c:pt idx="24">
                  <c:v>250000</c:v>
                </c:pt>
                <c:pt idx="25">
                  <c:v>260000</c:v>
                </c:pt>
                <c:pt idx="26">
                  <c:v>270000</c:v>
                </c:pt>
                <c:pt idx="27">
                  <c:v>280000</c:v>
                </c:pt>
                <c:pt idx="28">
                  <c:v>290000</c:v>
                </c:pt>
                <c:pt idx="29">
                  <c:v>300000</c:v>
                </c:pt>
                <c:pt idx="30">
                  <c:v>310000</c:v>
                </c:pt>
                <c:pt idx="31">
                  <c:v>320000</c:v>
                </c:pt>
                <c:pt idx="32">
                  <c:v>330000</c:v>
                </c:pt>
                <c:pt idx="33">
                  <c:v>340000</c:v>
                </c:pt>
                <c:pt idx="34">
                  <c:v>350000</c:v>
                </c:pt>
              </c:numCache>
            </c:numRef>
          </c:xVal>
          <c:yVal>
            <c:numRef>
              <c:f>comparacion!$B$2:$B$36</c:f>
              <c:numCache>
                <c:formatCode>General</c:formatCode>
                <c:ptCount val="35"/>
                <c:pt idx="0">
                  <c:v>2666</c:v>
                </c:pt>
                <c:pt idx="1">
                  <c:v>6382</c:v>
                </c:pt>
                <c:pt idx="2">
                  <c:v>7306</c:v>
                </c:pt>
                <c:pt idx="3">
                  <c:v>10186</c:v>
                </c:pt>
                <c:pt idx="4">
                  <c:v>12490</c:v>
                </c:pt>
                <c:pt idx="5">
                  <c:v>15758</c:v>
                </c:pt>
                <c:pt idx="6">
                  <c:v>17252</c:v>
                </c:pt>
                <c:pt idx="7">
                  <c:v>19471</c:v>
                </c:pt>
                <c:pt idx="8">
                  <c:v>23714</c:v>
                </c:pt>
                <c:pt idx="9">
                  <c:v>24696</c:v>
                </c:pt>
                <c:pt idx="10">
                  <c:v>27595</c:v>
                </c:pt>
                <c:pt idx="11">
                  <c:v>30894</c:v>
                </c:pt>
                <c:pt idx="12">
                  <c:v>35876</c:v>
                </c:pt>
                <c:pt idx="13">
                  <c:v>37812</c:v>
                </c:pt>
                <c:pt idx="14">
                  <c:v>40721</c:v>
                </c:pt>
                <c:pt idx="15">
                  <c:v>45301</c:v>
                </c:pt>
                <c:pt idx="16">
                  <c:v>43627</c:v>
                </c:pt>
                <c:pt idx="17">
                  <c:v>45962</c:v>
                </c:pt>
                <c:pt idx="18">
                  <c:v>51853</c:v>
                </c:pt>
                <c:pt idx="19">
                  <c:v>51899</c:v>
                </c:pt>
                <c:pt idx="20">
                  <c:v>54286</c:v>
                </c:pt>
                <c:pt idx="21">
                  <c:v>57979</c:v>
                </c:pt>
                <c:pt idx="22">
                  <c:v>61517</c:v>
                </c:pt>
                <c:pt idx="23">
                  <c:v>61245</c:v>
                </c:pt>
                <c:pt idx="24">
                  <c:v>69429</c:v>
                </c:pt>
                <c:pt idx="25">
                  <c:v>67626</c:v>
                </c:pt>
                <c:pt idx="26">
                  <c:v>71582</c:v>
                </c:pt>
                <c:pt idx="27">
                  <c:v>74553</c:v>
                </c:pt>
                <c:pt idx="28">
                  <c:v>78696</c:v>
                </c:pt>
                <c:pt idx="29">
                  <c:v>79544</c:v>
                </c:pt>
                <c:pt idx="30">
                  <c:v>81769</c:v>
                </c:pt>
                <c:pt idx="31">
                  <c:v>85105</c:v>
                </c:pt>
                <c:pt idx="32">
                  <c:v>92620</c:v>
                </c:pt>
                <c:pt idx="33">
                  <c:v>92714</c:v>
                </c:pt>
                <c:pt idx="34">
                  <c:v>92682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5F-4269-8AAD-6055FE3CD2F1}"/>
            </c:ext>
          </c:extLst>
        </c:ser>
        <c:ser>
          <c:idx val="1"/>
          <c:order val="1"/>
          <c:tx>
            <c:strRef>
              <c:f>comparacion!$C$1</c:f>
              <c:strCache>
                <c:ptCount val="1"/>
                <c:pt idx="0">
                  <c:v>TIEMPO-Quick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comparacion!$A$2:$A$36</c:f>
              <c:numCache>
                <c:formatCode>General</c:formatCode>
                <c:ptCount val="35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  <c:pt idx="10">
                  <c:v>110000</c:v>
                </c:pt>
                <c:pt idx="11">
                  <c:v>120000</c:v>
                </c:pt>
                <c:pt idx="12">
                  <c:v>130000</c:v>
                </c:pt>
                <c:pt idx="13">
                  <c:v>140000</c:v>
                </c:pt>
                <c:pt idx="14">
                  <c:v>150000</c:v>
                </c:pt>
                <c:pt idx="15">
                  <c:v>160000</c:v>
                </c:pt>
                <c:pt idx="16">
                  <c:v>170000</c:v>
                </c:pt>
                <c:pt idx="17">
                  <c:v>180000</c:v>
                </c:pt>
                <c:pt idx="18">
                  <c:v>190000</c:v>
                </c:pt>
                <c:pt idx="19">
                  <c:v>200000</c:v>
                </c:pt>
                <c:pt idx="20">
                  <c:v>210000</c:v>
                </c:pt>
                <c:pt idx="21">
                  <c:v>220000</c:v>
                </c:pt>
                <c:pt idx="22">
                  <c:v>230000</c:v>
                </c:pt>
                <c:pt idx="23">
                  <c:v>240000</c:v>
                </c:pt>
                <c:pt idx="24">
                  <c:v>250000</c:v>
                </c:pt>
                <c:pt idx="25">
                  <c:v>260000</c:v>
                </c:pt>
                <c:pt idx="26">
                  <c:v>270000</c:v>
                </c:pt>
                <c:pt idx="27">
                  <c:v>280000</c:v>
                </c:pt>
                <c:pt idx="28">
                  <c:v>290000</c:v>
                </c:pt>
                <c:pt idx="29">
                  <c:v>300000</c:v>
                </c:pt>
                <c:pt idx="30">
                  <c:v>310000</c:v>
                </c:pt>
                <c:pt idx="31">
                  <c:v>320000</c:v>
                </c:pt>
                <c:pt idx="32">
                  <c:v>330000</c:v>
                </c:pt>
                <c:pt idx="33">
                  <c:v>340000</c:v>
                </c:pt>
                <c:pt idx="34">
                  <c:v>350000</c:v>
                </c:pt>
              </c:numCache>
            </c:numRef>
          </c:xVal>
          <c:yVal>
            <c:numRef>
              <c:f>comparacion!$C$2:$C$36</c:f>
              <c:numCache>
                <c:formatCode>General</c:formatCode>
                <c:ptCount val="35"/>
                <c:pt idx="0">
                  <c:v>1003</c:v>
                </c:pt>
                <c:pt idx="1">
                  <c:v>2952</c:v>
                </c:pt>
                <c:pt idx="2">
                  <c:v>3718</c:v>
                </c:pt>
                <c:pt idx="3">
                  <c:v>9220</c:v>
                </c:pt>
                <c:pt idx="4">
                  <c:v>5301</c:v>
                </c:pt>
                <c:pt idx="5">
                  <c:v>6529</c:v>
                </c:pt>
                <c:pt idx="6">
                  <c:v>7499</c:v>
                </c:pt>
                <c:pt idx="7">
                  <c:v>8886</c:v>
                </c:pt>
                <c:pt idx="8">
                  <c:v>10237</c:v>
                </c:pt>
                <c:pt idx="9">
                  <c:v>11368</c:v>
                </c:pt>
                <c:pt idx="10">
                  <c:v>12458</c:v>
                </c:pt>
                <c:pt idx="11">
                  <c:v>13627</c:v>
                </c:pt>
                <c:pt idx="12">
                  <c:v>16349</c:v>
                </c:pt>
                <c:pt idx="13">
                  <c:v>16150</c:v>
                </c:pt>
                <c:pt idx="14">
                  <c:v>17418</c:v>
                </c:pt>
                <c:pt idx="15">
                  <c:v>18779</c:v>
                </c:pt>
                <c:pt idx="16">
                  <c:v>19597</c:v>
                </c:pt>
                <c:pt idx="17">
                  <c:v>22057</c:v>
                </c:pt>
                <c:pt idx="18">
                  <c:v>22544</c:v>
                </c:pt>
                <c:pt idx="19">
                  <c:v>24731</c:v>
                </c:pt>
                <c:pt idx="20">
                  <c:v>25635</c:v>
                </c:pt>
                <c:pt idx="21">
                  <c:v>28639</c:v>
                </c:pt>
                <c:pt idx="22">
                  <c:v>28901</c:v>
                </c:pt>
                <c:pt idx="23">
                  <c:v>30401</c:v>
                </c:pt>
                <c:pt idx="24">
                  <c:v>34376</c:v>
                </c:pt>
                <c:pt idx="25">
                  <c:v>33094</c:v>
                </c:pt>
                <c:pt idx="26">
                  <c:v>35910</c:v>
                </c:pt>
                <c:pt idx="27">
                  <c:v>34610</c:v>
                </c:pt>
                <c:pt idx="28">
                  <c:v>38177</c:v>
                </c:pt>
                <c:pt idx="29">
                  <c:v>39101</c:v>
                </c:pt>
                <c:pt idx="30">
                  <c:v>41682</c:v>
                </c:pt>
                <c:pt idx="31">
                  <c:v>42027</c:v>
                </c:pt>
                <c:pt idx="32">
                  <c:v>43238</c:v>
                </c:pt>
                <c:pt idx="33">
                  <c:v>45363</c:v>
                </c:pt>
                <c:pt idx="34">
                  <c:v>46987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5F-4269-8AAD-6055FE3CD2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6731048"/>
        <c:axId val="686727808"/>
      </c:scatterChart>
      <c:valAx>
        <c:axId val="686731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86727808"/>
        <c:crosses val="autoZero"/>
        <c:crossBetween val="midCat"/>
      </c:valAx>
      <c:valAx>
        <c:axId val="68672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867310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Comparación</a:t>
            </a:r>
            <a:r>
              <a:rPr lang="es-ES" baseline="0"/>
              <a:t> vectores pequeños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pequeños!$B$1</c:f>
              <c:strCache>
                <c:ptCount val="1"/>
                <c:pt idx="0">
                  <c:v>BUBBLE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pequeños!$A$2:$A$26</c:f>
              <c:numCache>
                <c:formatCode>General</c:formatCode>
                <c:ptCount val="2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42</c:v>
                </c:pt>
                <c:pt idx="21">
                  <c:v>44</c:v>
                </c:pt>
                <c:pt idx="22">
                  <c:v>46</c:v>
                </c:pt>
                <c:pt idx="23">
                  <c:v>48</c:v>
                </c:pt>
                <c:pt idx="24">
                  <c:v>50</c:v>
                </c:pt>
              </c:numCache>
            </c:numRef>
          </c:xVal>
          <c:yVal>
            <c:numRef>
              <c:f>pequeños!$B$2:$B$26</c:f>
              <c:numCache>
                <c:formatCode>General</c:formatCode>
                <c:ptCount val="25"/>
                <c:pt idx="0">
                  <c:v>100</c:v>
                </c:pt>
                <c:pt idx="1">
                  <c:v>200</c:v>
                </c:pt>
                <c:pt idx="2">
                  <c:v>200</c:v>
                </c:pt>
                <c:pt idx="3">
                  <c:v>400</c:v>
                </c:pt>
                <c:pt idx="4">
                  <c:v>500</c:v>
                </c:pt>
                <c:pt idx="5">
                  <c:v>700</c:v>
                </c:pt>
                <c:pt idx="6">
                  <c:v>800</c:v>
                </c:pt>
                <c:pt idx="7">
                  <c:v>1000</c:v>
                </c:pt>
                <c:pt idx="8">
                  <c:v>1200</c:v>
                </c:pt>
                <c:pt idx="9">
                  <c:v>2100</c:v>
                </c:pt>
                <c:pt idx="10">
                  <c:v>1800</c:v>
                </c:pt>
                <c:pt idx="11">
                  <c:v>2300</c:v>
                </c:pt>
                <c:pt idx="12">
                  <c:v>2300</c:v>
                </c:pt>
                <c:pt idx="13">
                  <c:v>3000</c:v>
                </c:pt>
                <c:pt idx="14">
                  <c:v>3000</c:v>
                </c:pt>
                <c:pt idx="15">
                  <c:v>3500</c:v>
                </c:pt>
                <c:pt idx="16">
                  <c:v>4100</c:v>
                </c:pt>
                <c:pt idx="17">
                  <c:v>4400</c:v>
                </c:pt>
                <c:pt idx="18">
                  <c:v>4700</c:v>
                </c:pt>
                <c:pt idx="19">
                  <c:v>5100</c:v>
                </c:pt>
                <c:pt idx="20">
                  <c:v>5600</c:v>
                </c:pt>
                <c:pt idx="21">
                  <c:v>6000</c:v>
                </c:pt>
                <c:pt idx="22">
                  <c:v>6700</c:v>
                </c:pt>
                <c:pt idx="23">
                  <c:v>7100</c:v>
                </c:pt>
                <c:pt idx="24">
                  <c:v>7200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80-44FA-9ED0-B18F75C24F77}"/>
            </c:ext>
          </c:extLst>
        </c:ser>
        <c:ser>
          <c:idx val="1"/>
          <c:order val="1"/>
          <c:tx>
            <c:strRef>
              <c:f>pequeños!$C$1</c:f>
              <c:strCache>
                <c:ptCount val="1"/>
                <c:pt idx="0">
                  <c:v>MERGE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pequeños!$A$2:$A$26</c:f>
              <c:numCache>
                <c:formatCode>General</c:formatCode>
                <c:ptCount val="2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42</c:v>
                </c:pt>
                <c:pt idx="21">
                  <c:v>44</c:v>
                </c:pt>
                <c:pt idx="22">
                  <c:v>46</c:v>
                </c:pt>
                <c:pt idx="23">
                  <c:v>48</c:v>
                </c:pt>
                <c:pt idx="24">
                  <c:v>50</c:v>
                </c:pt>
              </c:numCache>
            </c:numRef>
          </c:xVal>
          <c:yVal>
            <c:numRef>
              <c:f>pequeños!$C$2:$C$26</c:f>
              <c:numCache>
                <c:formatCode>General</c:formatCode>
                <c:ptCount val="25"/>
                <c:pt idx="0">
                  <c:v>600</c:v>
                </c:pt>
                <c:pt idx="1">
                  <c:v>1100</c:v>
                </c:pt>
                <c:pt idx="2">
                  <c:v>3300</c:v>
                </c:pt>
                <c:pt idx="3">
                  <c:v>1700</c:v>
                </c:pt>
                <c:pt idx="4">
                  <c:v>2200</c:v>
                </c:pt>
                <c:pt idx="5">
                  <c:v>2600</c:v>
                </c:pt>
                <c:pt idx="6">
                  <c:v>3000</c:v>
                </c:pt>
                <c:pt idx="7">
                  <c:v>4400</c:v>
                </c:pt>
                <c:pt idx="8">
                  <c:v>4500</c:v>
                </c:pt>
                <c:pt idx="9">
                  <c:v>4100</c:v>
                </c:pt>
                <c:pt idx="10">
                  <c:v>4300</c:v>
                </c:pt>
                <c:pt idx="11">
                  <c:v>4900</c:v>
                </c:pt>
                <c:pt idx="12">
                  <c:v>5500</c:v>
                </c:pt>
                <c:pt idx="13">
                  <c:v>7000</c:v>
                </c:pt>
                <c:pt idx="14">
                  <c:v>6200</c:v>
                </c:pt>
                <c:pt idx="15">
                  <c:v>6700</c:v>
                </c:pt>
                <c:pt idx="16">
                  <c:v>7200</c:v>
                </c:pt>
                <c:pt idx="17">
                  <c:v>6800</c:v>
                </c:pt>
                <c:pt idx="18">
                  <c:v>7200</c:v>
                </c:pt>
                <c:pt idx="19">
                  <c:v>7600</c:v>
                </c:pt>
                <c:pt idx="20">
                  <c:v>8400</c:v>
                </c:pt>
                <c:pt idx="21">
                  <c:v>8400</c:v>
                </c:pt>
                <c:pt idx="22">
                  <c:v>9300</c:v>
                </c:pt>
                <c:pt idx="23">
                  <c:v>10700</c:v>
                </c:pt>
                <c:pt idx="24">
                  <c:v>10200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A80-44FA-9ED0-B18F75C24F77}"/>
            </c:ext>
          </c:extLst>
        </c:ser>
        <c:ser>
          <c:idx val="2"/>
          <c:order val="2"/>
          <c:tx>
            <c:strRef>
              <c:f>pequeños!$D$1</c:f>
              <c:strCache>
                <c:ptCount val="1"/>
                <c:pt idx="0">
                  <c:v>QUICK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pequeños!$A$2:$A$26</c:f>
              <c:numCache>
                <c:formatCode>General</c:formatCode>
                <c:ptCount val="2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42</c:v>
                </c:pt>
                <c:pt idx="21">
                  <c:v>44</c:v>
                </c:pt>
                <c:pt idx="22">
                  <c:v>46</c:v>
                </c:pt>
                <c:pt idx="23">
                  <c:v>48</c:v>
                </c:pt>
                <c:pt idx="24">
                  <c:v>50</c:v>
                </c:pt>
              </c:numCache>
            </c:numRef>
          </c:xVal>
          <c:yVal>
            <c:numRef>
              <c:f>pequeños!$D$2:$D$26</c:f>
              <c:numCache>
                <c:formatCode>General</c:formatCode>
                <c:ptCount val="25"/>
                <c:pt idx="0">
                  <c:v>200</c:v>
                </c:pt>
                <c:pt idx="1">
                  <c:v>200</c:v>
                </c:pt>
                <c:pt idx="2">
                  <c:v>300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600</c:v>
                </c:pt>
                <c:pt idx="7">
                  <c:v>600</c:v>
                </c:pt>
                <c:pt idx="8">
                  <c:v>700</c:v>
                </c:pt>
                <c:pt idx="9">
                  <c:v>800</c:v>
                </c:pt>
                <c:pt idx="10">
                  <c:v>800</c:v>
                </c:pt>
                <c:pt idx="11">
                  <c:v>1100</c:v>
                </c:pt>
                <c:pt idx="12">
                  <c:v>900</c:v>
                </c:pt>
                <c:pt idx="13">
                  <c:v>1000</c:v>
                </c:pt>
                <c:pt idx="14">
                  <c:v>1200</c:v>
                </c:pt>
                <c:pt idx="15">
                  <c:v>1200</c:v>
                </c:pt>
                <c:pt idx="16">
                  <c:v>1500</c:v>
                </c:pt>
                <c:pt idx="17">
                  <c:v>1500</c:v>
                </c:pt>
                <c:pt idx="18">
                  <c:v>1700</c:v>
                </c:pt>
                <c:pt idx="19">
                  <c:v>1800</c:v>
                </c:pt>
                <c:pt idx="20">
                  <c:v>1700</c:v>
                </c:pt>
                <c:pt idx="21">
                  <c:v>1800</c:v>
                </c:pt>
                <c:pt idx="22">
                  <c:v>2400</c:v>
                </c:pt>
                <c:pt idx="23">
                  <c:v>2100</c:v>
                </c:pt>
                <c:pt idx="24">
                  <c:v>2400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A80-44FA-9ED0-B18F75C24F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9413704"/>
        <c:axId val="689416584"/>
      </c:scatterChart>
      <c:valAx>
        <c:axId val="689413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89416584"/>
        <c:crosses val="autoZero"/>
        <c:crossBetween val="midCat"/>
      </c:valAx>
      <c:valAx>
        <c:axId val="689416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894137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Comparacion</a:t>
            </a:r>
            <a:r>
              <a:rPr lang="es-ES" baseline="0"/>
              <a:t> Ordenados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ordenados!$B$1</c:f>
              <c:strCache>
                <c:ptCount val="1"/>
                <c:pt idx="0">
                  <c:v>Bubble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ordenados!$A$2:$A$36</c:f>
              <c:numCache>
                <c:formatCode>General</c:formatCode>
                <c:ptCount val="3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</c:numCache>
            </c:numRef>
          </c:xVal>
          <c:yVal>
            <c:numRef>
              <c:f>ordenados!$B$2:$B$36</c:f>
              <c:numCache>
                <c:formatCode>General</c:formatCode>
                <c:ptCount val="35"/>
                <c:pt idx="0">
                  <c:v>1</c:v>
                </c:pt>
                <c:pt idx="1">
                  <c:v>4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9</c:v>
                </c:pt>
                <c:pt idx="6">
                  <c:v>10</c:v>
                </c:pt>
                <c:pt idx="7">
                  <c:v>12</c:v>
                </c:pt>
                <c:pt idx="8">
                  <c:v>13</c:v>
                </c:pt>
                <c:pt idx="9">
                  <c:v>15</c:v>
                </c:pt>
                <c:pt idx="10">
                  <c:v>16</c:v>
                </c:pt>
                <c:pt idx="11">
                  <c:v>18</c:v>
                </c:pt>
                <c:pt idx="12">
                  <c:v>19</c:v>
                </c:pt>
                <c:pt idx="13">
                  <c:v>21</c:v>
                </c:pt>
                <c:pt idx="14">
                  <c:v>25</c:v>
                </c:pt>
                <c:pt idx="15">
                  <c:v>24</c:v>
                </c:pt>
                <c:pt idx="16">
                  <c:v>25</c:v>
                </c:pt>
                <c:pt idx="17">
                  <c:v>27</c:v>
                </c:pt>
                <c:pt idx="18">
                  <c:v>28</c:v>
                </c:pt>
                <c:pt idx="19">
                  <c:v>35</c:v>
                </c:pt>
                <c:pt idx="20">
                  <c:v>35</c:v>
                </c:pt>
                <c:pt idx="21">
                  <c:v>33</c:v>
                </c:pt>
                <c:pt idx="22">
                  <c:v>35</c:v>
                </c:pt>
                <c:pt idx="23">
                  <c:v>46</c:v>
                </c:pt>
                <c:pt idx="24">
                  <c:v>37</c:v>
                </c:pt>
                <c:pt idx="25">
                  <c:v>39</c:v>
                </c:pt>
                <c:pt idx="26">
                  <c:v>40</c:v>
                </c:pt>
                <c:pt idx="27">
                  <c:v>42</c:v>
                </c:pt>
                <c:pt idx="28">
                  <c:v>49</c:v>
                </c:pt>
                <c:pt idx="29">
                  <c:v>45</c:v>
                </c:pt>
                <c:pt idx="30">
                  <c:v>47</c:v>
                </c:pt>
                <c:pt idx="31">
                  <c:v>48</c:v>
                </c:pt>
                <c:pt idx="32">
                  <c:v>50</c:v>
                </c:pt>
                <c:pt idx="33">
                  <c:v>57</c:v>
                </c:pt>
                <c:pt idx="34">
                  <c:v>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D80-4912-95DC-652A1E677018}"/>
            </c:ext>
          </c:extLst>
        </c:ser>
        <c:ser>
          <c:idx val="1"/>
          <c:order val="1"/>
          <c:tx>
            <c:strRef>
              <c:f>ordenados!$E$1</c:f>
              <c:strCache>
                <c:ptCount val="1"/>
                <c:pt idx="0">
                  <c:v>Merge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ordenados!$A$2:$A$36</c:f>
              <c:numCache>
                <c:formatCode>General</c:formatCode>
                <c:ptCount val="3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</c:numCache>
            </c:numRef>
          </c:xVal>
          <c:yVal>
            <c:numRef>
              <c:f>ordenados!$E$2:$E$36</c:f>
              <c:numCache>
                <c:formatCode>General</c:formatCode>
                <c:ptCount val="35"/>
                <c:pt idx="0">
                  <c:v>192</c:v>
                </c:pt>
                <c:pt idx="1">
                  <c:v>333</c:v>
                </c:pt>
                <c:pt idx="2">
                  <c:v>542</c:v>
                </c:pt>
                <c:pt idx="3">
                  <c:v>832</c:v>
                </c:pt>
                <c:pt idx="4">
                  <c:v>1182</c:v>
                </c:pt>
                <c:pt idx="5">
                  <c:v>952</c:v>
                </c:pt>
                <c:pt idx="6">
                  <c:v>1156</c:v>
                </c:pt>
                <c:pt idx="7">
                  <c:v>1250</c:v>
                </c:pt>
                <c:pt idx="8">
                  <c:v>1452</c:v>
                </c:pt>
                <c:pt idx="9">
                  <c:v>1601</c:v>
                </c:pt>
                <c:pt idx="10">
                  <c:v>1968</c:v>
                </c:pt>
                <c:pt idx="11">
                  <c:v>1944</c:v>
                </c:pt>
                <c:pt idx="12">
                  <c:v>2154</c:v>
                </c:pt>
                <c:pt idx="13">
                  <c:v>2344</c:v>
                </c:pt>
                <c:pt idx="14">
                  <c:v>2859</c:v>
                </c:pt>
                <c:pt idx="15">
                  <c:v>2564</c:v>
                </c:pt>
                <c:pt idx="16">
                  <c:v>2803</c:v>
                </c:pt>
                <c:pt idx="17">
                  <c:v>2953</c:v>
                </c:pt>
                <c:pt idx="18">
                  <c:v>3192</c:v>
                </c:pt>
                <c:pt idx="19">
                  <c:v>3586</c:v>
                </c:pt>
                <c:pt idx="20">
                  <c:v>3402</c:v>
                </c:pt>
                <c:pt idx="21">
                  <c:v>3613</c:v>
                </c:pt>
                <c:pt idx="22">
                  <c:v>3780</c:v>
                </c:pt>
                <c:pt idx="23">
                  <c:v>4178</c:v>
                </c:pt>
                <c:pt idx="24">
                  <c:v>4090</c:v>
                </c:pt>
                <c:pt idx="25">
                  <c:v>4274</c:v>
                </c:pt>
                <c:pt idx="26">
                  <c:v>4341</c:v>
                </c:pt>
                <c:pt idx="27">
                  <c:v>5138</c:v>
                </c:pt>
                <c:pt idx="28">
                  <c:v>4834</c:v>
                </c:pt>
                <c:pt idx="29">
                  <c:v>5061</c:v>
                </c:pt>
                <c:pt idx="30">
                  <c:v>5958</c:v>
                </c:pt>
                <c:pt idx="31">
                  <c:v>5154</c:v>
                </c:pt>
                <c:pt idx="32">
                  <c:v>5389</c:v>
                </c:pt>
                <c:pt idx="33">
                  <c:v>6160</c:v>
                </c:pt>
                <c:pt idx="34">
                  <c:v>5810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D80-4912-95DC-652A1E677018}"/>
            </c:ext>
          </c:extLst>
        </c:ser>
        <c:ser>
          <c:idx val="2"/>
          <c:order val="2"/>
          <c:tx>
            <c:strRef>
              <c:f>ordenados!$G$1</c:f>
              <c:strCache>
                <c:ptCount val="1"/>
                <c:pt idx="0">
                  <c:v>Quick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ordenados!$A$2:$A$36</c:f>
              <c:numCache>
                <c:formatCode>General</c:formatCode>
                <c:ptCount val="3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</c:numCache>
            </c:numRef>
          </c:xVal>
          <c:yVal>
            <c:numRef>
              <c:f>ordenados!$G$2:$G$24</c:f>
              <c:numCache>
                <c:formatCode>General</c:formatCode>
                <c:ptCount val="23"/>
                <c:pt idx="0">
                  <c:v>1950</c:v>
                </c:pt>
                <c:pt idx="1">
                  <c:v>7651</c:v>
                </c:pt>
                <c:pt idx="2">
                  <c:v>16991</c:v>
                </c:pt>
                <c:pt idx="3">
                  <c:v>29837</c:v>
                </c:pt>
                <c:pt idx="4">
                  <c:v>52295</c:v>
                </c:pt>
                <c:pt idx="5">
                  <c:v>67811</c:v>
                </c:pt>
                <c:pt idx="6">
                  <c:v>94637</c:v>
                </c:pt>
                <c:pt idx="7">
                  <c:v>121314</c:v>
                </c:pt>
                <c:pt idx="8">
                  <c:v>152349</c:v>
                </c:pt>
                <c:pt idx="9">
                  <c:v>189622</c:v>
                </c:pt>
                <c:pt idx="10">
                  <c:v>229552</c:v>
                </c:pt>
                <c:pt idx="11">
                  <c:v>290882</c:v>
                </c:pt>
                <c:pt idx="12">
                  <c:v>320745</c:v>
                </c:pt>
                <c:pt idx="13">
                  <c:v>372569</c:v>
                </c:pt>
                <c:pt idx="14">
                  <c:v>426957</c:v>
                </c:pt>
                <c:pt idx="15">
                  <c:v>484853</c:v>
                </c:pt>
                <c:pt idx="16">
                  <c:v>544468</c:v>
                </c:pt>
                <c:pt idx="17">
                  <c:v>605923</c:v>
                </c:pt>
                <c:pt idx="18">
                  <c:v>675215</c:v>
                </c:pt>
                <c:pt idx="19">
                  <c:v>754878</c:v>
                </c:pt>
                <c:pt idx="20">
                  <c:v>832825</c:v>
                </c:pt>
                <c:pt idx="21">
                  <c:v>924121</c:v>
                </c:pt>
                <c:pt idx="22">
                  <c:v>1010264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D80-4912-95DC-652A1E6770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2344712"/>
        <c:axId val="452345432"/>
      </c:scatterChart>
      <c:valAx>
        <c:axId val="452344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52345432"/>
        <c:crosses val="autoZero"/>
        <c:crossBetween val="midCat"/>
      </c:valAx>
      <c:valAx>
        <c:axId val="452345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523447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Comparacion</a:t>
            </a:r>
            <a:r>
              <a:rPr lang="es-ES" baseline="0"/>
              <a:t> Ordenados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ordenados!$B$1</c:f>
              <c:strCache>
                <c:ptCount val="1"/>
                <c:pt idx="0">
                  <c:v>Bubble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ordenados!$A$2:$A$36</c:f>
              <c:numCache>
                <c:formatCode>General</c:formatCode>
                <c:ptCount val="3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</c:numCache>
            </c:numRef>
          </c:xVal>
          <c:yVal>
            <c:numRef>
              <c:f>ordenados!$B$2:$B$36</c:f>
              <c:numCache>
                <c:formatCode>General</c:formatCode>
                <c:ptCount val="35"/>
                <c:pt idx="0">
                  <c:v>1</c:v>
                </c:pt>
                <c:pt idx="1">
                  <c:v>4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9</c:v>
                </c:pt>
                <c:pt idx="6">
                  <c:v>10</c:v>
                </c:pt>
                <c:pt idx="7">
                  <c:v>12</c:v>
                </c:pt>
                <c:pt idx="8">
                  <c:v>13</c:v>
                </c:pt>
                <c:pt idx="9">
                  <c:v>15</c:v>
                </c:pt>
                <c:pt idx="10">
                  <c:v>16</c:v>
                </c:pt>
                <c:pt idx="11">
                  <c:v>18</c:v>
                </c:pt>
                <c:pt idx="12">
                  <c:v>19</c:v>
                </c:pt>
                <c:pt idx="13">
                  <c:v>21</c:v>
                </c:pt>
                <c:pt idx="14">
                  <c:v>25</c:v>
                </c:pt>
                <c:pt idx="15">
                  <c:v>24</c:v>
                </c:pt>
                <c:pt idx="16">
                  <c:v>25</c:v>
                </c:pt>
                <c:pt idx="17">
                  <c:v>27</c:v>
                </c:pt>
                <c:pt idx="18">
                  <c:v>28</c:v>
                </c:pt>
                <c:pt idx="19">
                  <c:v>35</c:v>
                </c:pt>
                <c:pt idx="20">
                  <c:v>35</c:v>
                </c:pt>
                <c:pt idx="21">
                  <c:v>33</c:v>
                </c:pt>
                <c:pt idx="22">
                  <c:v>35</c:v>
                </c:pt>
                <c:pt idx="23">
                  <c:v>46</c:v>
                </c:pt>
                <c:pt idx="24">
                  <c:v>37</c:v>
                </c:pt>
                <c:pt idx="25">
                  <c:v>39</c:v>
                </c:pt>
                <c:pt idx="26">
                  <c:v>40</c:v>
                </c:pt>
                <c:pt idx="27">
                  <c:v>42</c:v>
                </c:pt>
                <c:pt idx="28">
                  <c:v>49</c:v>
                </c:pt>
                <c:pt idx="29">
                  <c:v>45</c:v>
                </c:pt>
                <c:pt idx="30">
                  <c:v>47</c:v>
                </c:pt>
                <c:pt idx="31">
                  <c:v>48</c:v>
                </c:pt>
                <c:pt idx="32">
                  <c:v>50</c:v>
                </c:pt>
                <c:pt idx="33">
                  <c:v>57</c:v>
                </c:pt>
                <c:pt idx="34">
                  <c:v>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E2-4080-8F83-F0BE69FAB207}"/>
            </c:ext>
          </c:extLst>
        </c:ser>
        <c:ser>
          <c:idx val="1"/>
          <c:order val="1"/>
          <c:tx>
            <c:strRef>
              <c:f>ordenados!$E$1</c:f>
              <c:strCache>
                <c:ptCount val="1"/>
                <c:pt idx="0">
                  <c:v>Merge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ordenados!$A$2:$A$36</c:f>
              <c:numCache>
                <c:formatCode>General</c:formatCode>
                <c:ptCount val="3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</c:numCache>
            </c:numRef>
          </c:xVal>
          <c:yVal>
            <c:numRef>
              <c:f>ordenados!$E$2:$E$36</c:f>
              <c:numCache>
                <c:formatCode>General</c:formatCode>
                <c:ptCount val="35"/>
                <c:pt idx="0">
                  <c:v>192</c:v>
                </c:pt>
                <c:pt idx="1">
                  <c:v>333</c:v>
                </c:pt>
                <c:pt idx="2">
                  <c:v>542</c:v>
                </c:pt>
                <c:pt idx="3">
                  <c:v>832</c:v>
                </c:pt>
                <c:pt idx="4">
                  <c:v>1182</c:v>
                </c:pt>
                <c:pt idx="5">
                  <c:v>952</c:v>
                </c:pt>
                <c:pt idx="6">
                  <c:v>1156</c:v>
                </c:pt>
                <c:pt idx="7">
                  <c:v>1250</c:v>
                </c:pt>
                <c:pt idx="8">
                  <c:v>1452</c:v>
                </c:pt>
                <c:pt idx="9">
                  <c:v>1601</c:v>
                </c:pt>
                <c:pt idx="10">
                  <c:v>1968</c:v>
                </c:pt>
                <c:pt idx="11">
                  <c:v>1944</c:v>
                </c:pt>
                <c:pt idx="12">
                  <c:v>2154</c:v>
                </c:pt>
                <c:pt idx="13">
                  <c:v>2344</c:v>
                </c:pt>
                <c:pt idx="14">
                  <c:v>2859</c:v>
                </c:pt>
                <c:pt idx="15">
                  <c:v>2564</c:v>
                </c:pt>
                <c:pt idx="16">
                  <c:v>2803</c:v>
                </c:pt>
                <c:pt idx="17">
                  <c:v>2953</c:v>
                </c:pt>
                <c:pt idx="18">
                  <c:v>3192</c:v>
                </c:pt>
                <c:pt idx="19">
                  <c:v>3586</c:v>
                </c:pt>
                <c:pt idx="20">
                  <c:v>3402</c:v>
                </c:pt>
                <c:pt idx="21">
                  <c:v>3613</c:v>
                </c:pt>
                <c:pt idx="22">
                  <c:v>3780</c:v>
                </c:pt>
                <c:pt idx="23">
                  <c:v>4178</c:v>
                </c:pt>
                <c:pt idx="24">
                  <c:v>4090</c:v>
                </c:pt>
                <c:pt idx="25">
                  <c:v>4274</c:v>
                </c:pt>
                <c:pt idx="26">
                  <c:v>4341</c:v>
                </c:pt>
                <c:pt idx="27">
                  <c:v>5138</c:v>
                </c:pt>
                <c:pt idx="28">
                  <c:v>4834</c:v>
                </c:pt>
                <c:pt idx="29">
                  <c:v>5061</c:v>
                </c:pt>
                <c:pt idx="30">
                  <c:v>5958</c:v>
                </c:pt>
                <c:pt idx="31">
                  <c:v>5154</c:v>
                </c:pt>
                <c:pt idx="32">
                  <c:v>5389</c:v>
                </c:pt>
                <c:pt idx="33">
                  <c:v>6160</c:v>
                </c:pt>
                <c:pt idx="34">
                  <c:v>5810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3E2-4080-8F83-F0BE69FAB2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2344712"/>
        <c:axId val="452345432"/>
      </c:scatterChart>
      <c:valAx>
        <c:axId val="452344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52345432"/>
        <c:crosses val="autoZero"/>
        <c:crossBetween val="midCat"/>
      </c:valAx>
      <c:valAx>
        <c:axId val="452345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523447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Comparacion</a:t>
            </a:r>
            <a:r>
              <a:rPr lang="es-ES" baseline="0"/>
              <a:t> Ordenados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ordenados!$B$1</c:f>
              <c:strCache>
                <c:ptCount val="1"/>
                <c:pt idx="0">
                  <c:v>Bubble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ordenados!$A$2:$A$36</c:f>
              <c:numCache>
                <c:formatCode>General</c:formatCode>
                <c:ptCount val="3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</c:numCache>
            </c:numRef>
          </c:xVal>
          <c:yVal>
            <c:numRef>
              <c:f>ordenados!$B$2:$B$36</c:f>
              <c:numCache>
                <c:formatCode>General</c:formatCode>
                <c:ptCount val="35"/>
                <c:pt idx="0">
                  <c:v>1</c:v>
                </c:pt>
                <c:pt idx="1">
                  <c:v>4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9</c:v>
                </c:pt>
                <c:pt idx="6">
                  <c:v>10</c:v>
                </c:pt>
                <c:pt idx="7">
                  <c:v>12</c:v>
                </c:pt>
                <c:pt idx="8">
                  <c:v>13</c:v>
                </c:pt>
                <c:pt idx="9">
                  <c:v>15</c:v>
                </c:pt>
                <c:pt idx="10">
                  <c:v>16</c:v>
                </c:pt>
                <c:pt idx="11">
                  <c:v>18</c:v>
                </c:pt>
                <c:pt idx="12">
                  <c:v>19</c:v>
                </c:pt>
                <c:pt idx="13">
                  <c:v>21</c:v>
                </c:pt>
                <c:pt idx="14">
                  <c:v>25</c:v>
                </c:pt>
                <c:pt idx="15">
                  <c:v>24</c:v>
                </c:pt>
                <c:pt idx="16">
                  <c:v>25</c:v>
                </c:pt>
                <c:pt idx="17">
                  <c:v>27</c:v>
                </c:pt>
                <c:pt idx="18">
                  <c:v>28</c:v>
                </c:pt>
                <c:pt idx="19">
                  <c:v>35</c:v>
                </c:pt>
                <c:pt idx="20">
                  <c:v>35</c:v>
                </c:pt>
                <c:pt idx="21">
                  <c:v>33</c:v>
                </c:pt>
                <c:pt idx="22">
                  <c:v>35</c:v>
                </c:pt>
                <c:pt idx="23">
                  <c:v>46</c:v>
                </c:pt>
                <c:pt idx="24">
                  <c:v>37</c:v>
                </c:pt>
                <c:pt idx="25">
                  <c:v>39</c:v>
                </c:pt>
                <c:pt idx="26">
                  <c:v>40</c:v>
                </c:pt>
                <c:pt idx="27">
                  <c:v>42</c:v>
                </c:pt>
                <c:pt idx="28">
                  <c:v>49</c:v>
                </c:pt>
                <c:pt idx="29">
                  <c:v>45</c:v>
                </c:pt>
                <c:pt idx="30">
                  <c:v>47</c:v>
                </c:pt>
                <c:pt idx="31">
                  <c:v>48</c:v>
                </c:pt>
                <c:pt idx="32">
                  <c:v>50</c:v>
                </c:pt>
                <c:pt idx="33">
                  <c:v>57</c:v>
                </c:pt>
                <c:pt idx="34">
                  <c:v>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54-452F-B864-A919B5EB8824}"/>
            </c:ext>
          </c:extLst>
        </c:ser>
        <c:ser>
          <c:idx val="1"/>
          <c:order val="1"/>
          <c:tx>
            <c:strRef>
              <c:f>ordenados!$D$1</c:f>
              <c:strCache>
                <c:ptCount val="1"/>
                <c:pt idx="0">
                  <c:v>TIEMPO TEORICO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ordenados!$A$2:$A$36</c:f>
              <c:numCache>
                <c:formatCode>General</c:formatCode>
                <c:ptCount val="3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</c:numCache>
            </c:numRef>
          </c:xVal>
          <c:yVal>
            <c:numRef>
              <c:f>ordenados!$D$2:$D$36</c:f>
              <c:numCache>
                <c:formatCode>General</c:formatCode>
                <c:ptCount val="35"/>
                <c:pt idx="0">
                  <c:v>1.5246176629289772</c:v>
                </c:pt>
                <c:pt idx="1">
                  <c:v>3.0492353258579543</c:v>
                </c:pt>
                <c:pt idx="2">
                  <c:v>4.573852988786931</c:v>
                </c:pt>
                <c:pt idx="3">
                  <c:v>6.0984706517159086</c:v>
                </c:pt>
                <c:pt idx="4">
                  <c:v>7.6230883146448853</c:v>
                </c:pt>
                <c:pt idx="5">
                  <c:v>9.1477059775738621</c:v>
                </c:pt>
                <c:pt idx="6">
                  <c:v>10.672323640502841</c:v>
                </c:pt>
                <c:pt idx="7">
                  <c:v>12.196941303431817</c:v>
                </c:pt>
                <c:pt idx="8">
                  <c:v>13.721558966360794</c:v>
                </c:pt>
                <c:pt idx="9">
                  <c:v>15.246176629289771</c:v>
                </c:pt>
                <c:pt idx="10">
                  <c:v>16.770794292218749</c:v>
                </c:pt>
                <c:pt idx="11">
                  <c:v>18.295411955147724</c:v>
                </c:pt>
                <c:pt idx="12">
                  <c:v>19.820029618076703</c:v>
                </c:pt>
                <c:pt idx="13">
                  <c:v>21.344647281005681</c:v>
                </c:pt>
                <c:pt idx="14">
                  <c:v>22.869264943934656</c:v>
                </c:pt>
                <c:pt idx="15">
                  <c:v>24.393882606863635</c:v>
                </c:pt>
                <c:pt idx="16">
                  <c:v>25.918500269792613</c:v>
                </c:pt>
                <c:pt idx="17">
                  <c:v>27.443117932721588</c:v>
                </c:pt>
                <c:pt idx="18">
                  <c:v>28.967735595650566</c:v>
                </c:pt>
                <c:pt idx="19">
                  <c:v>30.492353258579541</c:v>
                </c:pt>
                <c:pt idx="20">
                  <c:v>32.016970921508523</c:v>
                </c:pt>
                <c:pt idx="21">
                  <c:v>33.541588584437498</c:v>
                </c:pt>
                <c:pt idx="22">
                  <c:v>35.066206247366473</c:v>
                </c:pt>
                <c:pt idx="23">
                  <c:v>36.590823910295448</c:v>
                </c:pt>
                <c:pt idx="24">
                  <c:v>38.11544157322443</c:v>
                </c:pt>
                <c:pt idx="25">
                  <c:v>39.640059236153405</c:v>
                </c:pt>
                <c:pt idx="26">
                  <c:v>41.16467689908238</c:v>
                </c:pt>
                <c:pt idx="27">
                  <c:v>42.689294562011362</c:v>
                </c:pt>
                <c:pt idx="28">
                  <c:v>44.213912224940337</c:v>
                </c:pt>
                <c:pt idx="29">
                  <c:v>45.738529887869312</c:v>
                </c:pt>
                <c:pt idx="30">
                  <c:v>47.263147550798294</c:v>
                </c:pt>
                <c:pt idx="31">
                  <c:v>48.787765213727269</c:v>
                </c:pt>
                <c:pt idx="32">
                  <c:v>50.312382876656244</c:v>
                </c:pt>
                <c:pt idx="33">
                  <c:v>51.837000539585226</c:v>
                </c:pt>
                <c:pt idx="34">
                  <c:v>53.361618202514201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554-452F-B864-A919B5EB8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2344712"/>
        <c:axId val="452345432"/>
      </c:scatterChart>
      <c:valAx>
        <c:axId val="452344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52345432"/>
        <c:crosses val="autoZero"/>
        <c:crossBetween val="midCat"/>
      </c:valAx>
      <c:valAx>
        <c:axId val="452345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523447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519462231906917"/>
          <c:y val="0.45571577465860247"/>
          <c:w val="0.24764069177261161"/>
          <c:h val="0.1739404313591235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466725</xdr:colOff>
      <xdr:row>0</xdr:row>
      <xdr:rowOff>0</xdr:rowOff>
    </xdr:from>
    <xdr:to>
      <xdr:col>15</xdr:col>
      <xdr:colOff>561315</xdr:colOff>
      <xdr:row>19</xdr:row>
      <xdr:rowOff>178980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466725</xdr:colOff>
      <xdr:row>5</xdr:row>
      <xdr:rowOff>147637</xdr:rowOff>
    </xdr:from>
    <xdr:to>
      <xdr:col>14</xdr:col>
      <xdr:colOff>447675</xdr:colOff>
      <xdr:row>25</xdr:row>
      <xdr:rowOff>104775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4E18D9E-F629-76CB-F6CF-CDA03B82C3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590549</xdr:colOff>
      <xdr:row>0</xdr:row>
      <xdr:rowOff>85725</xdr:rowOff>
    </xdr:from>
    <xdr:to>
      <xdr:col>15</xdr:col>
      <xdr:colOff>457199</xdr:colOff>
      <xdr:row>19</xdr:row>
      <xdr:rowOff>42862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D5D78F1-E006-16B8-E04A-EE36C5B9C8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542925</xdr:colOff>
      <xdr:row>21</xdr:row>
      <xdr:rowOff>180975</xdr:rowOff>
    </xdr:from>
    <xdr:to>
      <xdr:col>15</xdr:col>
      <xdr:colOff>409575</xdr:colOff>
      <xdr:row>40</xdr:row>
      <xdr:rowOff>138112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AC5ED59-20C7-4E43-A174-5648482341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380999</xdr:colOff>
      <xdr:row>0</xdr:row>
      <xdr:rowOff>57150</xdr:rowOff>
    </xdr:from>
    <xdr:to>
      <xdr:col>15</xdr:col>
      <xdr:colOff>333374</xdr:colOff>
      <xdr:row>21</xdr:row>
      <xdr:rowOff>128587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E7B0C63-59C1-5668-39E0-E526386F23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323850</xdr:colOff>
      <xdr:row>22</xdr:row>
      <xdr:rowOff>133350</xdr:rowOff>
    </xdr:from>
    <xdr:to>
      <xdr:col>15</xdr:col>
      <xdr:colOff>276225</xdr:colOff>
      <xdr:row>44</xdr:row>
      <xdr:rowOff>14287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ED14FC4-CF43-4927-89ED-3A49B62EBB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514350</xdr:colOff>
      <xdr:row>1</xdr:row>
      <xdr:rowOff>161925</xdr:rowOff>
    </xdr:from>
    <xdr:to>
      <xdr:col>17</xdr:col>
      <xdr:colOff>361950</xdr:colOff>
      <xdr:row>27</xdr:row>
      <xdr:rowOff>171450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5676397-5D97-70E6-B3FC-93D94F5D79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9525</xdr:colOff>
      <xdr:row>0</xdr:row>
      <xdr:rowOff>9524</xdr:rowOff>
    </xdr:from>
    <xdr:to>
      <xdr:col>15</xdr:col>
      <xdr:colOff>285750</xdr:colOff>
      <xdr:row>17</xdr:row>
      <xdr:rowOff>57149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5FA3E73-6643-D578-95BF-4B0191A55F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523875</xdr:colOff>
      <xdr:row>17</xdr:row>
      <xdr:rowOff>152400</xdr:rowOff>
    </xdr:from>
    <xdr:to>
      <xdr:col>15</xdr:col>
      <xdr:colOff>38100</xdr:colOff>
      <xdr:row>35</xdr:row>
      <xdr:rowOff>9525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6269659-2B24-43A2-8EBE-DEF9F94A26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371475</xdr:colOff>
      <xdr:row>3</xdr:row>
      <xdr:rowOff>38100</xdr:rowOff>
    </xdr:from>
    <xdr:to>
      <xdr:col>17</xdr:col>
      <xdr:colOff>647700</xdr:colOff>
      <xdr:row>20</xdr:row>
      <xdr:rowOff>85725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A455757-B3A7-4E7F-B72F-7D07EA1E31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2394522-19EC-4373-8AF1-A92DD060A378}" name="Tabla2" displayName="Tabla2" ref="A1:G38" totalsRowShown="0">
  <autoFilter ref="A1:G38" xr:uid="{62394522-19EC-4373-8AF1-A92DD060A378}"/>
  <tableColumns count="7">
    <tableColumn id="1" xr3:uid="{D9816BB9-7AA0-45A0-AEBA-8A3DFDE5B6F2}" name="TAMAÑO"/>
    <tableColumn id="2" xr3:uid="{50E1E14A-3C24-45D6-9E2C-C95102A6F482}" name="TIEMPO (us)"/>
    <tableColumn id="3" xr3:uid="{51680CBD-A53F-4462-AF76-0CDBA3F17548}" name="f(n) = n^2"/>
    <tableColumn id="4" xr3:uid="{DBC1E7E0-5332-4BC7-B24C-F1B1E096B77C}" name="k = TIEMPO/f(n)"/>
    <tableColumn id="5" xr3:uid="{CA3A875D-F767-47F5-8454-59517AD538EB}" name="TIEMPO TEORICO (Kpromedio)"/>
    <tableColumn id="6" xr3:uid="{01E31E40-D361-4E70-9539-A770113C1B06}" name="Columna1"/>
    <tableColumn id="7" xr3:uid="{A9F2F8ED-6056-4E67-AD15-E900A206A328}" name="TIEMPO ORDENAD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16E6C7-AC47-49C7-8F1B-4F93CD8D2F0D}" name="Tabla3" displayName="Tabla3" ref="A1:E37" totalsRowShown="0">
  <autoFilter ref="A1:E37" xr:uid="{5A16E6C7-AC47-49C7-8F1B-4F93CD8D2F0D}"/>
  <tableColumns count="5">
    <tableColumn id="1" xr3:uid="{914D774A-1449-4161-B1BB-7D8F1D70F897}" name="TAMAÑO"/>
    <tableColumn id="2" xr3:uid="{D2FFD946-D70F-4D7F-BF7A-400FDA4B8F2C}" name="TIEMPO (us)"/>
    <tableColumn id="3" xr3:uid="{52178357-A137-43E9-A6DA-F673C06ACB45}" name="f(n) = n*log(n)"/>
    <tableColumn id="4" xr3:uid="{2B433554-7D88-4E79-8E31-71730D0572E1}" name="k = TIEMPO/f(n)"/>
    <tableColumn id="5" xr3:uid="{2BC331F3-0507-48E4-9903-602965AD138D}" name="TIEMPO TEORICO" dataDxfId="0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8"/>
  <sheetViews>
    <sheetView zoomScaleNormal="100" workbookViewId="0">
      <selection activeCell="K26" sqref="K26"/>
    </sheetView>
  </sheetViews>
  <sheetFormatPr baseColWidth="10" defaultColWidth="9.140625" defaultRowHeight="15" x14ac:dyDescent="0.25"/>
  <cols>
    <col min="1" max="1" width="16.42578125" customWidth="1"/>
    <col min="2" max="2" width="23.7109375" customWidth="1"/>
    <col min="3" max="4" width="23.140625" customWidth="1"/>
    <col min="5" max="5" width="29.85546875" customWidth="1"/>
    <col min="6" max="6" width="19.5703125" customWidth="1"/>
    <col min="7" max="7" width="20.7109375" customWidth="1"/>
    <col min="9" max="9" width="8.28515625" customWidth="1"/>
    <col min="10" max="10" width="18.42578125" customWidth="1"/>
  </cols>
  <sheetData>
    <row r="1" spans="1:7" x14ac:dyDescent="0.25">
      <c r="A1" t="s">
        <v>0</v>
      </c>
      <c r="B1" t="s">
        <v>1</v>
      </c>
      <c r="C1" t="s">
        <v>9</v>
      </c>
      <c r="D1" t="s">
        <v>6</v>
      </c>
      <c r="E1" t="s">
        <v>3</v>
      </c>
      <c r="F1" t="s">
        <v>10</v>
      </c>
      <c r="G1" t="s">
        <v>7</v>
      </c>
    </row>
    <row r="2" spans="1:7" x14ac:dyDescent="0.25">
      <c r="A2">
        <v>1000</v>
      </c>
      <c r="B2">
        <v>2338</v>
      </c>
      <c r="C2">
        <f>A2*A2</f>
        <v>1000000</v>
      </c>
      <c r="D2">
        <f>B2/C2</f>
        <v>2.3379999999999998E-3</v>
      </c>
      <c r="E2">
        <f>$D$38*C2</f>
        <v>2604.3027668390705</v>
      </c>
      <c r="G2">
        <v>1</v>
      </c>
    </row>
    <row r="3" spans="1:7" x14ac:dyDescent="0.25">
      <c r="A3">
        <v>2000</v>
      </c>
      <c r="B3">
        <v>8862</v>
      </c>
      <c r="C3">
        <f t="shared" ref="C3:C36" si="0">A3*A3</f>
        <v>4000000</v>
      </c>
      <c r="D3">
        <f t="shared" ref="D3:D36" si="1">B3/C3</f>
        <v>2.2155E-3</v>
      </c>
      <c r="E3">
        <f t="shared" ref="E3:E36" si="2">$D$38*C3</f>
        <v>10417.211067356282</v>
      </c>
      <c r="G3">
        <v>4</v>
      </c>
    </row>
    <row r="4" spans="1:7" x14ac:dyDescent="0.25">
      <c r="A4">
        <v>3000</v>
      </c>
      <c r="B4">
        <v>21128</v>
      </c>
      <c r="C4">
        <f t="shared" si="0"/>
        <v>9000000</v>
      </c>
      <c r="D4">
        <f t="shared" si="1"/>
        <v>2.3475555555555554E-3</v>
      </c>
      <c r="E4">
        <f t="shared" si="2"/>
        <v>23438.724901551632</v>
      </c>
      <c r="G4">
        <v>4</v>
      </c>
    </row>
    <row r="5" spans="1:7" x14ac:dyDescent="0.25">
      <c r="A5">
        <v>4000</v>
      </c>
      <c r="B5">
        <v>36625</v>
      </c>
      <c r="C5">
        <f t="shared" si="0"/>
        <v>16000000</v>
      </c>
      <c r="D5">
        <f t="shared" si="1"/>
        <v>2.2890624999999999E-3</v>
      </c>
      <c r="E5">
        <f t="shared" si="2"/>
        <v>41668.844269425128</v>
      </c>
      <c r="G5">
        <v>6</v>
      </c>
    </row>
    <row r="6" spans="1:7" x14ac:dyDescent="0.25">
      <c r="A6">
        <v>5000</v>
      </c>
      <c r="B6">
        <v>58964</v>
      </c>
      <c r="C6">
        <f t="shared" si="0"/>
        <v>25000000</v>
      </c>
      <c r="D6">
        <f t="shared" si="1"/>
        <v>2.35856E-3</v>
      </c>
      <c r="E6">
        <f t="shared" si="2"/>
        <v>65107.569170976756</v>
      </c>
      <c r="G6">
        <v>7</v>
      </c>
    </row>
    <row r="7" spans="1:7" x14ac:dyDescent="0.25">
      <c r="A7">
        <v>6000</v>
      </c>
      <c r="B7">
        <v>89837</v>
      </c>
      <c r="C7">
        <f t="shared" si="0"/>
        <v>36000000</v>
      </c>
      <c r="D7">
        <f t="shared" si="1"/>
        <v>2.4954722222222223E-3</v>
      </c>
      <c r="E7">
        <f t="shared" si="2"/>
        <v>93754.899606206527</v>
      </c>
      <c r="G7">
        <v>9</v>
      </c>
    </row>
    <row r="8" spans="1:7" x14ac:dyDescent="0.25">
      <c r="A8">
        <v>7000</v>
      </c>
      <c r="B8">
        <v>126509</v>
      </c>
      <c r="C8">
        <f t="shared" si="0"/>
        <v>49000000</v>
      </c>
      <c r="D8">
        <f t="shared" si="1"/>
        <v>2.5818163265306122E-3</v>
      </c>
      <c r="E8">
        <f t="shared" si="2"/>
        <v>127610.83557511444</v>
      </c>
      <c r="G8">
        <v>10</v>
      </c>
    </row>
    <row r="9" spans="1:7" x14ac:dyDescent="0.25">
      <c r="A9">
        <v>8000</v>
      </c>
      <c r="B9">
        <v>172619</v>
      </c>
      <c r="C9">
        <f t="shared" si="0"/>
        <v>64000000</v>
      </c>
      <c r="D9">
        <f t="shared" si="1"/>
        <v>2.6971718749999999E-3</v>
      </c>
      <c r="E9">
        <f t="shared" si="2"/>
        <v>166675.37707770051</v>
      </c>
      <c r="G9">
        <v>12</v>
      </c>
    </row>
    <row r="10" spans="1:7" x14ac:dyDescent="0.25">
      <c r="A10">
        <v>9000</v>
      </c>
      <c r="B10">
        <v>206162</v>
      </c>
      <c r="C10">
        <f t="shared" si="0"/>
        <v>81000000</v>
      </c>
      <c r="D10">
        <f t="shared" si="1"/>
        <v>2.5452098765432101E-3</v>
      </c>
      <c r="E10">
        <f t="shared" si="2"/>
        <v>210948.5241139647</v>
      </c>
      <c r="G10">
        <v>13</v>
      </c>
    </row>
    <row r="11" spans="1:7" x14ac:dyDescent="0.25">
      <c r="A11">
        <v>10000</v>
      </c>
      <c r="B11">
        <v>257846</v>
      </c>
      <c r="C11">
        <f t="shared" si="0"/>
        <v>100000000</v>
      </c>
      <c r="D11">
        <f t="shared" si="1"/>
        <v>2.5784599999999999E-3</v>
      </c>
      <c r="E11">
        <f t="shared" si="2"/>
        <v>260430.27668390702</v>
      </c>
      <c r="G11">
        <v>15</v>
      </c>
    </row>
    <row r="12" spans="1:7" x14ac:dyDescent="0.25">
      <c r="A12">
        <v>11000</v>
      </c>
      <c r="B12">
        <v>320095</v>
      </c>
      <c r="C12">
        <f t="shared" si="0"/>
        <v>121000000</v>
      </c>
      <c r="D12">
        <f t="shared" si="1"/>
        <v>2.6454132231404958E-3</v>
      </c>
      <c r="E12">
        <f t="shared" si="2"/>
        <v>315120.6347875275</v>
      </c>
      <c r="G12">
        <v>16</v>
      </c>
    </row>
    <row r="13" spans="1:7" x14ac:dyDescent="0.25">
      <c r="A13">
        <v>12000</v>
      </c>
      <c r="B13">
        <v>383531</v>
      </c>
      <c r="C13">
        <f t="shared" si="0"/>
        <v>144000000</v>
      </c>
      <c r="D13">
        <f t="shared" si="1"/>
        <v>2.6634097222222224E-3</v>
      </c>
      <c r="E13">
        <f t="shared" si="2"/>
        <v>375019.59842482611</v>
      </c>
      <c r="G13">
        <v>18</v>
      </c>
    </row>
    <row r="14" spans="1:7" x14ac:dyDescent="0.25">
      <c r="A14">
        <v>13000</v>
      </c>
      <c r="B14">
        <v>448301</v>
      </c>
      <c r="C14">
        <f t="shared" si="0"/>
        <v>169000000</v>
      </c>
      <c r="D14">
        <f t="shared" si="1"/>
        <v>2.6526686390532543E-3</v>
      </c>
      <c r="E14">
        <f t="shared" si="2"/>
        <v>440127.16759580286</v>
      </c>
      <c r="G14">
        <v>19</v>
      </c>
    </row>
    <row r="15" spans="1:7" x14ac:dyDescent="0.25">
      <c r="A15">
        <v>14000</v>
      </c>
      <c r="B15">
        <v>510758</v>
      </c>
      <c r="C15">
        <f t="shared" si="0"/>
        <v>196000000</v>
      </c>
      <c r="D15">
        <f t="shared" si="1"/>
        <v>2.6059081632653063E-3</v>
      </c>
      <c r="E15">
        <f t="shared" si="2"/>
        <v>510443.34230045776</v>
      </c>
      <c r="G15">
        <v>21</v>
      </c>
    </row>
    <row r="16" spans="1:7" x14ac:dyDescent="0.25">
      <c r="A16">
        <v>15000</v>
      </c>
      <c r="B16">
        <v>597212</v>
      </c>
      <c r="C16">
        <f t="shared" si="0"/>
        <v>225000000</v>
      </c>
      <c r="D16">
        <f t="shared" si="1"/>
        <v>2.6542755555555558E-3</v>
      </c>
      <c r="E16">
        <f t="shared" si="2"/>
        <v>585968.12253879081</v>
      </c>
      <c r="G16">
        <v>25</v>
      </c>
    </row>
    <row r="17" spans="1:8" x14ac:dyDescent="0.25">
      <c r="A17">
        <v>16000</v>
      </c>
      <c r="B17">
        <v>680927</v>
      </c>
      <c r="C17">
        <f t="shared" si="0"/>
        <v>256000000</v>
      </c>
      <c r="D17">
        <f t="shared" si="1"/>
        <v>2.6598710937499998E-3</v>
      </c>
      <c r="E17">
        <f t="shared" si="2"/>
        <v>666701.50831080205</v>
      </c>
      <c r="G17">
        <v>24</v>
      </c>
    </row>
    <row r="18" spans="1:8" x14ac:dyDescent="0.25">
      <c r="A18">
        <v>17000</v>
      </c>
      <c r="B18">
        <v>762225</v>
      </c>
      <c r="C18">
        <f t="shared" si="0"/>
        <v>289000000</v>
      </c>
      <c r="D18">
        <f t="shared" si="1"/>
        <v>2.6374567474048444E-3</v>
      </c>
      <c r="E18">
        <f t="shared" si="2"/>
        <v>752643.49961649126</v>
      </c>
      <c r="G18">
        <v>25</v>
      </c>
    </row>
    <row r="19" spans="1:8" x14ac:dyDescent="0.25">
      <c r="A19">
        <v>18000</v>
      </c>
      <c r="B19">
        <v>857677</v>
      </c>
      <c r="C19">
        <f t="shared" si="0"/>
        <v>324000000</v>
      </c>
      <c r="D19">
        <f t="shared" si="1"/>
        <v>2.6471512345679011E-3</v>
      </c>
      <c r="E19">
        <f t="shared" si="2"/>
        <v>843794.09645585879</v>
      </c>
      <c r="G19">
        <v>27</v>
      </c>
    </row>
    <row r="20" spans="1:8" x14ac:dyDescent="0.25">
      <c r="A20">
        <v>19000</v>
      </c>
      <c r="B20">
        <v>960859</v>
      </c>
      <c r="C20">
        <f t="shared" si="0"/>
        <v>361000000</v>
      </c>
      <c r="D20">
        <f t="shared" si="1"/>
        <v>2.6616592797783934E-3</v>
      </c>
      <c r="E20">
        <f t="shared" si="2"/>
        <v>940153.2988289044</v>
      </c>
      <c r="G20">
        <v>28</v>
      </c>
    </row>
    <row r="21" spans="1:8" x14ac:dyDescent="0.25">
      <c r="A21">
        <v>20000</v>
      </c>
      <c r="B21">
        <v>1061429</v>
      </c>
      <c r="C21">
        <f t="shared" si="0"/>
        <v>400000000</v>
      </c>
      <c r="D21">
        <f t="shared" si="1"/>
        <v>2.6535725E-3</v>
      </c>
      <c r="E21">
        <f t="shared" si="2"/>
        <v>1041721.1067356281</v>
      </c>
      <c r="G21">
        <v>35</v>
      </c>
    </row>
    <row r="22" spans="1:8" x14ac:dyDescent="0.25">
      <c r="A22">
        <v>21000</v>
      </c>
      <c r="B22">
        <v>1170663</v>
      </c>
      <c r="C22">
        <f t="shared" si="0"/>
        <v>441000000</v>
      </c>
      <c r="D22">
        <f t="shared" si="1"/>
        <v>2.6545646258503402E-3</v>
      </c>
      <c r="E22">
        <f t="shared" si="2"/>
        <v>1148497.52017603</v>
      </c>
      <c r="G22">
        <v>35</v>
      </c>
      <c r="H22" s="1"/>
    </row>
    <row r="23" spans="1:8" x14ac:dyDescent="0.25">
      <c r="A23">
        <v>22000</v>
      </c>
      <c r="B23">
        <v>1284151</v>
      </c>
      <c r="C23">
        <f t="shared" si="0"/>
        <v>484000000</v>
      </c>
      <c r="D23">
        <f t="shared" si="1"/>
        <v>2.6532045454545454E-3</v>
      </c>
      <c r="E23">
        <f t="shared" si="2"/>
        <v>1260482.53915011</v>
      </c>
      <c r="G23">
        <v>33</v>
      </c>
    </row>
    <row r="24" spans="1:8" x14ac:dyDescent="0.25">
      <c r="A24">
        <v>23000</v>
      </c>
      <c r="B24">
        <v>1415770</v>
      </c>
      <c r="C24">
        <f t="shared" si="0"/>
        <v>529000000</v>
      </c>
      <c r="D24">
        <f t="shared" si="1"/>
        <v>2.6763137996219282E-3</v>
      </c>
      <c r="E24">
        <f t="shared" si="2"/>
        <v>1377676.1636578683</v>
      </c>
      <c r="G24">
        <v>35</v>
      </c>
      <c r="H24" s="1"/>
    </row>
    <row r="25" spans="1:8" x14ac:dyDescent="0.25">
      <c r="A25">
        <v>24000</v>
      </c>
      <c r="B25">
        <v>1533342</v>
      </c>
      <c r="C25">
        <f t="shared" si="0"/>
        <v>576000000</v>
      </c>
      <c r="D25">
        <f t="shared" si="1"/>
        <v>2.6620520833333335E-3</v>
      </c>
      <c r="E25">
        <f t="shared" si="2"/>
        <v>1500078.3936993044</v>
      </c>
      <c r="G25">
        <v>46</v>
      </c>
    </row>
    <row r="26" spans="1:8" x14ac:dyDescent="0.25">
      <c r="A26">
        <v>25000</v>
      </c>
      <c r="B26">
        <v>1674880</v>
      </c>
      <c r="C26">
        <f t="shared" si="0"/>
        <v>625000000</v>
      </c>
      <c r="D26">
        <f t="shared" si="1"/>
        <v>2.6798080000000001E-3</v>
      </c>
      <c r="E26">
        <f t="shared" si="2"/>
        <v>1627689.2292744189</v>
      </c>
      <c r="G26">
        <v>37</v>
      </c>
    </row>
    <row r="27" spans="1:8" x14ac:dyDescent="0.25">
      <c r="A27">
        <v>26000</v>
      </c>
      <c r="B27">
        <v>1808805</v>
      </c>
      <c r="C27">
        <f t="shared" si="0"/>
        <v>676000000</v>
      </c>
      <c r="D27">
        <f t="shared" si="1"/>
        <v>2.6757470414201182E-3</v>
      </c>
      <c r="E27">
        <f t="shared" si="2"/>
        <v>1760508.6703832115</v>
      </c>
      <c r="G27">
        <v>39</v>
      </c>
    </row>
    <row r="28" spans="1:8" x14ac:dyDescent="0.25">
      <c r="A28">
        <v>27000</v>
      </c>
      <c r="B28">
        <v>1960424</v>
      </c>
      <c r="C28">
        <f t="shared" si="0"/>
        <v>729000000</v>
      </c>
      <c r="D28">
        <f t="shared" si="1"/>
        <v>2.6891961591220849E-3</v>
      </c>
      <c r="E28">
        <f t="shared" si="2"/>
        <v>1898536.7170256823</v>
      </c>
      <c r="G28">
        <v>40</v>
      </c>
    </row>
    <row r="29" spans="1:8" x14ac:dyDescent="0.25">
      <c r="A29">
        <v>28000</v>
      </c>
      <c r="B29">
        <v>2105079</v>
      </c>
      <c r="C29">
        <f t="shared" si="0"/>
        <v>784000000</v>
      </c>
      <c r="D29">
        <f t="shared" si="1"/>
        <v>2.685049744897959E-3</v>
      </c>
      <c r="E29">
        <f t="shared" si="2"/>
        <v>2041773.3692018311</v>
      </c>
      <c r="G29">
        <v>42</v>
      </c>
    </row>
    <row r="30" spans="1:8" x14ac:dyDescent="0.25">
      <c r="A30">
        <v>29000</v>
      </c>
      <c r="B30">
        <v>2264073</v>
      </c>
      <c r="C30">
        <f t="shared" si="0"/>
        <v>841000000</v>
      </c>
      <c r="D30">
        <f t="shared" si="1"/>
        <v>2.6921200951248512E-3</v>
      </c>
      <c r="E30">
        <f t="shared" si="2"/>
        <v>2190218.6269116583</v>
      </c>
      <c r="G30">
        <v>49</v>
      </c>
    </row>
    <row r="31" spans="1:8" x14ac:dyDescent="0.25">
      <c r="A31">
        <v>30000</v>
      </c>
      <c r="B31">
        <v>2410573</v>
      </c>
      <c r="C31">
        <f t="shared" si="0"/>
        <v>900000000</v>
      </c>
      <c r="D31">
        <f t="shared" si="1"/>
        <v>2.6784144444444444E-3</v>
      </c>
      <c r="E31">
        <f t="shared" si="2"/>
        <v>2343872.4901551632</v>
      </c>
      <c r="G31">
        <v>45</v>
      </c>
    </row>
    <row r="32" spans="1:8" x14ac:dyDescent="0.25">
      <c r="A32">
        <v>31000</v>
      </c>
      <c r="B32">
        <v>2580920</v>
      </c>
      <c r="C32">
        <f t="shared" si="0"/>
        <v>961000000</v>
      </c>
      <c r="D32">
        <f t="shared" si="1"/>
        <v>2.6856607700312175E-3</v>
      </c>
      <c r="E32">
        <f t="shared" si="2"/>
        <v>2502734.9589323467</v>
      </c>
      <c r="G32">
        <v>47</v>
      </c>
    </row>
    <row r="33" spans="1:7" x14ac:dyDescent="0.25">
      <c r="A33">
        <v>32000</v>
      </c>
      <c r="B33">
        <v>2758535</v>
      </c>
      <c r="C33">
        <f t="shared" si="0"/>
        <v>1024000000</v>
      </c>
      <c r="D33">
        <f t="shared" si="1"/>
        <v>2.6938818359375002E-3</v>
      </c>
      <c r="E33">
        <f t="shared" si="2"/>
        <v>2666806.0332432082</v>
      </c>
      <c r="G33">
        <v>48</v>
      </c>
    </row>
    <row r="34" spans="1:7" x14ac:dyDescent="0.25">
      <c r="A34">
        <v>33000</v>
      </c>
      <c r="B34">
        <v>2931504</v>
      </c>
      <c r="C34">
        <f t="shared" si="0"/>
        <v>1089000000</v>
      </c>
      <c r="D34">
        <f t="shared" si="1"/>
        <v>2.691922865013774E-3</v>
      </c>
      <c r="E34">
        <f t="shared" si="2"/>
        <v>2836085.7130877473</v>
      </c>
      <c r="G34">
        <v>50</v>
      </c>
    </row>
    <row r="35" spans="1:7" x14ac:dyDescent="0.25">
      <c r="A35">
        <v>34000</v>
      </c>
      <c r="B35">
        <v>3120316</v>
      </c>
      <c r="C35">
        <f t="shared" si="0"/>
        <v>1156000000</v>
      </c>
      <c r="D35">
        <f t="shared" si="1"/>
        <v>2.6992352941176473E-3</v>
      </c>
      <c r="E35">
        <f t="shared" si="2"/>
        <v>3010573.998465965</v>
      </c>
      <c r="G35">
        <v>57</v>
      </c>
    </row>
    <row r="36" spans="1:7" x14ac:dyDescent="0.25">
      <c r="A36">
        <v>35000</v>
      </c>
      <c r="B36">
        <v>3313908</v>
      </c>
      <c r="C36">
        <f t="shared" si="0"/>
        <v>1225000000</v>
      </c>
      <c r="D36">
        <f t="shared" si="1"/>
        <v>2.7052310204081632E-3</v>
      </c>
      <c r="E36">
        <f t="shared" si="2"/>
        <v>3190270.8893778613</v>
      </c>
      <c r="G36">
        <v>53</v>
      </c>
    </row>
    <row r="38" spans="1:7" x14ac:dyDescent="0.25">
      <c r="C38" s="3" t="s">
        <v>4</v>
      </c>
      <c r="D38">
        <f>AVERAGE(D2:D36)</f>
        <v>2.6043027668390703E-3</v>
      </c>
    </row>
  </sheetData>
  <pageMargins left="0.7" right="0.7" top="0.75" bottom="0.75" header="0.511811023622047" footer="0.511811023622047"/>
  <pageSetup paperSize="9" orientation="portrait" horizontalDpi="300" verticalDpi="30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8"/>
  <sheetViews>
    <sheetView zoomScaleNormal="100" workbookViewId="0">
      <selection activeCell="I32" sqref="I32"/>
    </sheetView>
  </sheetViews>
  <sheetFormatPr baseColWidth="10" defaultColWidth="9.140625" defaultRowHeight="15" x14ac:dyDescent="0.25"/>
  <cols>
    <col min="1" max="1" width="18.7109375" customWidth="1"/>
    <col min="2" max="2" width="20.42578125" customWidth="1"/>
    <col min="3" max="3" width="15.7109375" customWidth="1"/>
    <col min="4" max="4" width="20" customWidth="1"/>
    <col min="5" max="5" width="22.85546875" customWidth="1"/>
    <col min="7" max="7" width="25" customWidth="1"/>
    <col min="9" max="9" width="18.28515625" customWidth="1"/>
    <col min="10" max="10" width="20" customWidth="1"/>
  </cols>
  <sheetData>
    <row r="1" spans="1:7" x14ac:dyDescent="0.25">
      <c r="A1" t="s">
        <v>0</v>
      </c>
      <c r="B1" t="s">
        <v>1</v>
      </c>
      <c r="C1" t="s">
        <v>11</v>
      </c>
      <c r="D1" t="s">
        <v>2</v>
      </c>
      <c r="E1" t="s">
        <v>5</v>
      </c>
      <c r="G1" t="s">
        <v>8</v>
      </c>
    </row>
    <row r="2" spans="1:7" x14ac:dyDescent="0.25">
      <c r="A2">
        <v>10000</v>
      </c>
      <c r="B2">
        <v>2666</v>
      </c>
      <c r="C2">
        <f>A2*LOG10(A2)</f>
        <v>40000</v>
      </c>
      <c r="D2">
        <f>B2/C2</f>
        <v>6.6650000000000001E-2</v>
      </c>
      <c r="E2">
        <f>$D$38*C2</f>
        <v>2066.944174667497</v>
      </c>
      <c r="G2">
        <v>3410</v>
      </c>
    </row>
    <row r="3" spans="1:7" x14ac:dyDescent="0.25">
      <c r="A3">
        <v>20000</v>
      </c>
      <c r="B3">
        <v>6382</v>
      </c>
      <c r="C3">
        <f t="shared" ref="C3:C36" si="0">A3*LOG10(A3)</f>
        <v>86020.599913279628</v>
      </c>
      <c r="D3">
        <f t="shared" ref="D3:D36" si="1">B3/C3</f>
        <v>7.4191530940657432E-2</v>
      </c>
      <c r="E3">
        <f t="shared" ref="E3:E36" si="2">$D$38*C3</f>
        <v>4444.9944473039186</v>
      </c>
      <c r="G3">
        <v>3422</v>
      </c>
    </row>
    <row r="4" spans="1:7" x14ac:dyDescent="0.25">
      <c r="A4">
        <v>30000</v>
      </c>
      <c r="B4">
        <v>7306</v>
      </c>
      <c r="C4">
        <f t="shared" si="0"/>
        <v>134313.63764158988</v>
      </c>
      <c r="D4">
        <f t="shared" si="1"/>
        <v>5.4395072073736429E-2</v>
      </c>
      <c r="E4">
        <f t="shared" si="2"/>
        <v>6940.469772542132</v>
      </c>
      <c r="G4">
        <v>5785</v>
      </c>
    </row>
    <row r="5" spans="1:7" x14ac:dyDescent="0.25">
      <c r="A5">
        <v>40000</v>
      </c>
      <c r="B5">
        <v>10186</v>
      </c>
      <c r="C5">
        <f t="shared" si="0"/>
        <v>184082.39965311851</v>
      </c>
      <c r="D5">
        <f t="shared" si="1"/>
        <v>5.5333915785508614E-2</v>
      </c>
      <c r="E5">
        <f t="shared" si="2"/>
        <v>9512.2010905456846</v>
      </c>
      <c r="G5">
        <v>7334</v>
      </c>
    </row>
    <row r="6" spans="1:7" x14ac:dyDescent="0.25">
      <c r="A6">
        <v>50000</v>
      </c>
      <c r="B6">
        <v>12490</v>
      </c>
      <c r="C6">
        <f t="shared" si="0"/>
        <v>234948.50021680092</v>
      </c>
      <c r="D6">
        <f t="shared" si="1"/>
        <v>5.3160586207082555E-2</v>
      </c>
      <c r="E6">
        <f t="shared" si="2"/>
        <v>12140.635846749547</v>
      </c>
      <c r="G6">
        <v>10441</v>
      </c>
    </row>
    <row r="7" spans="1:7" x14ac:dyDescent="0.25">
      <c r="A7">
        <v>60000</v>
      </c>
      <c r="B7">
        <v>15758</v>
      </c>
      <c r="C7">
        <f t="shared" si="0"/>
        <v>286689.07502301864</v>
      </c>
      <c r="D7">
        <f t="shared" si="1"/>
        <v>5.4965470863285494E-2</v>
      </c>
      <c r="E7">
        <f t="shared" si="2"/>
        <v>14814.257838991036</v>
      </c>
      <c r="G7">
        <v>10248</v>
      </c>
    </row>
    <row r="8" spans="1:7" x14ac:dyDescent="0.25">
      <c r="A8">
        <v>70000</v>
      </c>
      <c r="B8">
        <v>17252</v>
      </c>
      <c r="C8">
        <f t="shared" si="0"/>
        <v>339156.86280099797</v>
      </c>
      <c r="D8">
        <f t="shared" si="1"/>
        <v>5.0867318023644706E-2</v>
      </c>
      <c r="E8">
        <f t="shared" si="2"/>
        <v>17525.457546625657</v>
      </c>
      <c r="G8">
        <v>12807</v>
      </c>
    </row>
    <row r="9" spans="1:7" x14ac:dyDescent="0.25">
      <c r="A9">
        <v>80000</v>
      </c>
      <c r="B9">
        <v>19471</v>
      </c>
      <c r="C9">
        <f t="shared" si="0"/>
        <v>392247.19895935548</v>
      </c>
      <c r="D9">
        <f t="shared" si="1"/>
        <v>4.9639615149979895E-2</v>
      </c>
      <c r="E9">
        <f t="shared" si="2"/>
        <v>20268.826572967064</v>
      </c>
      <c r="G9">
        <v>13446</v>
      </c>
    </row>
    <row r="10" spans="1:7" x14ac:dyDescent="0.25">
      <c r="A10">
        <v>90000</v>
      </c>
      <c r="B10">
        <v>23714</v>
      </c>
      <c r="C10">
        <f t="shared" si="0"/>
        <v>445881.82584953925</v>
      </c>
      <c r="D10">
        <f t="shared" si="1"/>
        <v>5.3184495588753107E-2</v>
      </c>
      <c r="E10">
        <f t="shared" si="2"/>
        <v>23040.321063245316</v>
      </c>
      <c r="G10">
        <v>15643</v>
      </c>
    </row>
    <row r="11" spans="1:7" x14ac:dyDescent="0.25">
      <c r="A11">
        <v>100000</v>
      </c>
      <c r="B11">
        <v>24696</v>
      </c>
      <c r="C11">
        <f t="shared" si="0"/>
        <v>500000</v>
      </c>
      <c r="D11">
        <f t="shared" si="1"/>
        <v>4.9391999999999998E-2</v>
      </c>
      <c r="E11">
        <f t="shared" si="2"/>
        <v>25836.802183343712</v>
      </c>
      <c r="G11">
        <v>16805</v>
      </c>
    </row>
    <row r="12" spans="1:7" x14ac:dyDescent="0.25">
      <c r="A12">
        <v>110000</v>
      </c>
      <c r="B12">
        <v>27595</v>
      </c>
      <c r="C12">
        <f t="shared" si="0"/>
        <v>554553.19536740484</v>
      </c>
      <c r="D12">
        <f t="shared" si="1"/>
        <v>4.9760780806100392E-2</v>
      </c>
      <c r="E12">
        <f t="shared" si="2"/>
        <v>28655.762417697599</v>
      </c>
      <c r="G12">
        <v>19331</v>
      </c>
    </row>
    <row r="13" spans="1:7" x14ac:dyDescent="0.25">
      <c r="A13">
        <v>120000</v>
      </c>
      <c r="B13">
        <v>30894</v>
      </c>
      <c r="C13">
        <f t="shared" si="0"/>
        <v>609501.74952571501</v>
      </c>
      <c r="D13">
        <f t="shared" si="1"/>
        <v>5.0687303234224067E-2</v>
      </c>
      <c r="E13">
        <f t="shared" si="2"/>
        <v>31495.152265795616</v>
      </c>
      <c r="G13">
        <v>20920</v>
      </c>
    </row>
    <row r="14" spans="1:7" x14ac:dyDescent="0.25">
      <c r="A14">
        <v>130000</v>
      </c>
      <c r="B14">
        <v>35876</v>
      </c>
      <c r="C14">
        <f t="shared" si="0"/>
        <v>664812.63579988875</v>
      </c>
      <c r="D14">
        <f t="shared" si="1"/>
        <v>5.3964076595557998E-2</v>
      </c>
      <c r="E14">
        <f t="shared" si="2"/>
        <v>34353.265120298107</v>
      </c>
      <c r="G14">
        <v>22523</v>
      </c>
    </row>
    <row r="15" spans="1:7" x14ac:dyDescent="0.25">
      <c r="A15">
        <v>140000</v>
      </c>
      <c r="B15">
        <v>37812</v>
      </c>
      <c r="C15">
        <f t="shared" si="0"/>
        <v>720457.92499495333</v>
      </c>
      <c r="D15">
        <f t="shared" si="1"/>
        <v>5.2483286932078467E-2</v>
      </c>
      <c r="E15">
        <f t="shared" si="2"/>
        <v>37228.657779033783</v>
      </c>
      <c r="G15">
        <v>23825</v>
      </c>
    </row>
    <row r="16" spans="1:7" x14ac:dyDescent="0.25">
      <c r="A16">
        <v>150000</v>
      </c>
      <c r="B16">
        <v>40721</v>
      </c>
      <c r="C16">
        <f t="shared" si="0"/>
        <v>776413.68885835225</v>
      </c>
      <c r="D16">
        <f t="shared" si="1"/>
        <v>5.244755545188369E-2</v>
      </c>
      <c r="E16">
        <f t="shared" si="2"/>
        <v>40120.093782946846</v>
      </c>
      <c r="G16">
        <v>26253</v>
      </c>
    </row>
    <row r="17" spans="1:7" x14ac:dyDescent="0.25">
      <c r="A17">
        <v>160000</v>
      </c>
      <c r="B17">
        <v>45301</v>
      </c>
      <c r="C17">
        <f t="shared" si="0"/>
        <v>832659.19722494797</v>
      </c>
      <c r="D17">
        <f t="shared" si="1"/>
        <v>5.440521182132773E-2</v>
      </c>
      <c r="E17">
        <f t="shared" si="2"/>
        <v>43026.501929685517</v>
      </c>
      <c r="G17">
        <v>28251</v>
      </c>
    </row>
    <row r="18" spans="1:7" x14ac:dyDescent="0.25">
      <c r="A18">
        <v>170000</v>
      </c>
      <c r="B18">
        <v>43627</v>
      </c>
      <c r="C18">
        <f t="shared" si="0"/>
        <v>889176.31663430657</v>
      </c>
      <c r="D18">
        <f t="shared" si="1"/>
        <v>4.9064509685926072E-2</v>
      </c>
      <c r="E18">
        <f t="shared" si="2"/>
        <v>45946.945197989546</v>
      </c>
      <c r="G18">
        <v>29785</v>
      </c>
    </row>
    <row r="19" spans="1:7" x14ac:dyDescent="0.25">
      <c r="A19">
        <v>180000</v>
      </c>
      <c r="B19">
        <v>45962</v>
      </c>
      <c r="C19">
        <f t="shared" si="0"/>
        <v>945949.05091859517</v>
      </c>
      <c r="D19">
        <f t="shared" si="1"/>
        <v>4.8588240513975964E-2</v>
      </c>
      <c r="E19">
        <f t="shared" si="2"/>
        <v>48880.597008210949</v>
      </c>
      <c r="G19">
        <v>31716</v>
      </c>
    </row>
    <row r="20" spans="1:7" x14ac:dyDescent="0.25">
      <c r="A20">
        <v>190000</v>
      </c>
      <c r="B20">
        <v>51853</v>
      </c>
      <c r="C20">
        <f t="shared" si="0"/>
        <v>1002963.1841810375</v>
      </c>
      <c r="D20">
        <f t="shared" si="1"/>
        <v>5.1699803958746703E-2</v>
      </c>
      <c r="E20">
        <f t="shared" si="2"/>
        <v>51826.722773723988</v>
      </c>
      <c r="G20">
        <v>33936</v>
      </c>
    </row>
    <row r="21" spans="1:7" x14ac:dyDescent="0.25">
      <c r="A21">
        <v>200000</v>
      </c>
      <c r="B21">
        <v>51899</v>
      </c>
      <c r="C21">
        <f t="shared" si="0"/>
        <v>1060205.9991327962</v>
      </c>
      <c r="D21">
        <f t="shared" si="1"/>
        <v>4.895180751896442E-2</v>
      </c>
      <c r="E21">
        <f t="shared" si="2"/>
        <v>54784.665346376663</v>
      </c>
      <c r="G21">
        <v>34667</v>
      </c>
    </row>
    <row r="22" spans="1:7" x14ac:dyDescent="0.25">
      <c r="A22">
        <v>210000</v>
      </c>
      <c r="B22">
        <v>54286</v>
      </c>
      <c r="C22">
        <f t="shared" si="0"/>
        <v>1117666.0518941232</v>
      </c>
      <c r="D22">
        <f t="shared" si="1"/>
        <v>4.857085880706568E-2</v>
      </c>
      <c r="E22">
        <f t="shared" si="2"/>
        <v>57753.833379654461</v>
      </c>
      <c r="G22">
        <v>36373</v>
      </c>
    </row>
    <row r="23" spans="1:7" x14ac:dyDescent="0.25">
      <c r="A23">
        <v>220000</v>
      </c>
      <c r="B23">
        <v>57979</v>
      </c>
      <c r="C23">
        <f t="shared" si="0"/>
        <v>1175332.9897808854</v>
      </c>
      <c r="D23">
        <f t="shared" si="1"/>
        <v>4.9329849926878076E-2</v>
      </c>
      <c r="E23">
        <f t="shared" si="2"/>
        <v>60733.69191305335</v>
      </c>
      <c r="G23">
        <v>40066</v>
      </c>
    </row>
    <row r="24" spans="1:7" x14ac:dyDescent="0.25">
      <c r="A24">
        <v>230000</v>
      </c>
      <c r="B24">
        <v>61517</v>
      </c>
      <c r="C24">
        <f t="shared" si="0"/>
        <v>1233197.4022840464</v>
      </c>
      <c r="D24">
        <f t="shared" si="1"/>
        <v>4.9884146598153947E-2</v>
      </c>
      <c r="E24">
        <f t="shared" si="2"/>
        <v>63723.754671652496</v>
      </c>
      <c r="G24">
        <v>41743</v>
      </c>
    </row>
    <row r="25" spans="1:7" x14ac:dyDescent="0.25">
      <c r="A25">
        <v>240000</v>
      </c>
      <c r="B25">
        <v>61245</v>
      </c>
      <c r="C25">
        <f t="shared" si="0"/>
        <v>1291250.6980107855</v>
      </c>
      <c r="D25">
        <f t="shared" si="1"/>
        <v>4.7430758484274166E-2</v>
      </c>
      <c r="E25">
        <f t="shared" si="2"/>
        <v>66723.577707218312</v>
      </c>
      <c r="G25">
        <v>42741</v>
      </c>
    </row>
    <row r="26" spans="1:7" x14ac:dyDescent="0.25">
      <c r="A26">
        <v>250000</v>
      </c>
      <c r="B26">
        <v>69429</v>
      </c>
      <c r="C26">
        <f t="shared" si="0"/>
        <v>1349485.0021680093</v>
      </c>
      <c r="D26">
        <f t="shared" si="1"/>
        <v>5.1448515462164557E-2</v>
      </c>
      <c r="E26">
        <f t="shared" si="2"/>
        <v>69732.754100808044</v>
      </c>
      <c r="G26">
        <v>47990</v>
      </c>
    </row>
    <row r="27" spans="1:7" x14ac:dyDescent="0.25">
      <c r="A27">
        <v>260000</v>
      </c>
      <c r="B27">
        <v>67626</v>
      </c>
      <c r="C27">
        <f t="shared" si="0"/>
        <v>1407893.0704724127</v>
      </c>
      <c r="D27">
        <f t="shared" si="1"/>
        <v>4.8033477412676218E-2</v>
      </c>
      <c r="E27">
        <f t="shared" si="2"/>
        <v>72750.909514192244</v>
      </c>
      <c r="G27">
        <v>45129</v>
      </c>
    </row>
    <row r="28" spans="1:7" x14ac:dyDescent="0.25">
      <c r="A28">
        <v>270000</v>
      </c>
      <c r="B28">
        <v>71582</v>
      </c>
      <c r="C28">
        <f t="shared" si="0"/>
        <v>1466468.2163229266</v>
      </c>
      <c r="D28">
        <f t="shared" si="1"/>
        <v>4.8812513768274633E-2</v>
      </c>
      <c r="E28">
        <f t="shared" si="2"/>
        <v>75777.698426592702</v>
      </c>
      <c r="G28">
        <v>49684</v>
      </c>
    </row>
    <row r="29" spans="1:7" x14ac:dyDescent="0.25">
      <c r="A29">
        <v>280000</v>
      </c>
      <c r="B29">
        <v>74553</v>
      </c>
      <c r="C29">
        <f t="shared" si="0"/>
        <v>1525204.2487758214</v>
      </c>
      <c r="D29">
        <f t="shared" si="1"/>
        <v>4.8880666349991268E-2</v>
      </c>
      <c r="E29">
        <f t="shared" si="2"/>
        <v>78812.800929632504</v>
      </c>
      <c r="G29">
        <v>50417</v>
      </c>
    </row>
    <row r="30" spans="1:7" x14ac:dyDescent="0.25">
      <c r="A30">
        <v>290000</v>
      </c>
      <c r="B30">
        <v>78696</v>
      </c>
      <c r="C30">
        <f t="shared" si="0"/>
        <v>1584095.4193906975</v>
      </c>
      <c r="D30">
        <f t="shared" si="1"/>
        <v>4.9678825553494392E-2</v>
      </c>
      <c r="E30">
        <f t="shared" si="2"/>
        <v>81855.919980676699</v>
      </c>
      <c r="G30">
        <v>51808</v>
      </c>
    </row>
    <row r="31" spans="1:7" x14ac:dyDescent="0.25">
      <c r="A31">
        <v>300000</v>
      </c>
      <c r="B31">
        <v>79544</v>
      </c>
      <c r="C31">
        <f t="shared" si="0"/>
        <v>1643136.3764158988</v>
      </c>
      <c r="D31">
        <f t="shared" si="1"/>
        <v>4.8409858817383029E-2</v>
      </c>
      <c r="E31">
        <f t="shared" si="2"/>
        <v>84906.779035427549</v>
      </c>
      <c r="G31">
        <v>53945</v>
      </c>
    </row>
    <row r="32" spans="1:7" x14ac:dyDescent="0.25">
      <c r="A32">
        <v>310000</v>
      </c>
      <c r="B32">
        <v>81769</v>
      </c>
      <c r="C32">
        <f t="shared" si="0"/>
        <v>1702322.1250886247</v>
      </c>
      <c r="D32">
        <f t="shared" si="1"/>
        <v>4.8033799710934862E-2</v>
      </c>
      <c r="E32">
        <f t="shared" si="2"/>
        <v>87965.119996488182</v>
      </c>
      <c r="G32">
        <v>57387</v>
      </c>
    </row>
    <row r="33" spans="1:7" x14ac:dyDescent="0.25">
      <c r="A33">
        <v>320000</v>
      </c>
      <c r="B33">
        <v>85105</v>
      </c>
      <c r="C33">
        <f t="shared" si="0"/>
        <v>1761647.99306237</v>
      </c>
      <c r="D33">
        <f t="shared" si="1"/>
        <v>4.8309878213556888E-2</v>
      </c>
      <c r="E33">
        <f t="shared" si="2"/>
        <v>91030.701426873828</v>
      </c>
      <c r="G33">
        <v>58469</v>
      </c>
    </row>
    <row r="34" spans="1:7" x14ac:dyDescent="0.25">
      <c r="A34">
        <v>330000</v>
      </c>
      <c r="B34">
        <v>92620</v>
      </c>
      <c r="C34">
        <f t="shared" si="0"/>
        <v>1821109.6001597028</v>
      </c>
      <c r="D34">
        <f t="shared" si="1"/>
        <v>5.0859102599798311E-2</v>
      </c>
      <c r="E34">
        <f t="shared" si="2"/>
        <v>94103.296987028822</v>
      </c>
      <c r="G34">
        <v>58477</v>
      </c>
    </row>
    <row r="35" spans="1:7" x14ac:dyDescent="0.25">
      <c r="A35">
        <v>340000</v>
      </c>
      <c r="B35">
        <v>92714</v>
      </c>
      <c r="C35">
        <f t="shared" si="0"/>
        <v>1880702.8317943669</v>
      </c>
      <c r="D35">
        <f t="shared" si="1"/>
        <v>4.9297527728791764E-2</v>
      </c>
      <c r="E35">
        <f t="shared" si="2"/>
        <v>97182.694061450806</v>
      </c>
      <c r="G35">
        <v>66560</v>
      </c>
    </row>
    <row r="36" spans="1:7" x14ac:dyDescent="0.25">
      <c r="A36">
        <v>350000</v>
      </c>
      <c r="B36">
        <v>92682</v>
      </c>
      <c r="C36">
        <f t="shared" si="0"/>
        <v>1940423.8155225965</v>
      </c>
      <c r="D36">
        <f t="shared" si="1"/>
        <v>4.776379224918903E-2</v>
      </c>
      <c r="E36">
        <f t="shared" si="2"/>
        <v>100268.69254701272</v>
      </c>
      <c r="G36">
        <v>63716</v>
      </c>
    </row>
    <row r="38" spans="1:7" x14ac:dyDescent="0.25">
      <c r="C38" t="s">
        <v>4</v>
      </c>
      <c r="D38">
        <f>AVERAGE(D2:D36)</f>
        <v>5.1673604366687428E-2</v>
      </c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61"/>
  <sheetViews>
    <sheetView tabSelected="1" zoomScaleNormal="100" workbookViewId="0">
      <selection activeCell="J34" sqref="J34"/>
    </sheetView>
  </sheetViews>
  <sheetFormatPr baseColWidth="10" defaultColWidth="9.140625" defaultRowHeight="15" x14ac:dyDescent="0.25"/>
  <cols>
    <col min="1" max="1" width="14.5703125" customWidth="1"/>
    <col min="2" max="2" width="18.7109375" customWidth="1"/>
    <col min="3" max="3" width="25.42578125" customWidth="1"/>
    <col min="4" max="4" width="25.140625" style="2" customWidth="1"/>
    <col min="5" max="5" width="18.140625" customWidth="1"/>
    <col min="6" max="6" width="14.85546875" customWidth="1"/>
    <col min="8" max="8" width="19.28515625" customWidth="1"/>
    <col min="9" max="9" width="10.42578125" customWidth="1"/>
    <col min="10" max="10" width="21.7109375" customWidth="1"/>
  </cols>
  <sheetData>
    <row r="1" spans="1:8" x14ac:dyDescent="0.25">
      <c r="A1" t="s">
        <v>0</v>
      </c>
      <c r="B1" t="s">
        <v>1</v>
      </c>
      <c r="C1" t="s">
        <v>12</v>
      </c>
      <c r="D1" t="s">
        <v>6</v>
      </c>
      <c r="E1" s="2" t="s">
        <v>5</v>
      </c>
      <c r="H1" t="s">
        <v>7</v>
      </c>
    </row>
    <row r="2" spans="1:8" x14ac:dyDescent="0.25">
      <c r="A2">
        <v>10000</v>
      </c>
      <c r="B2">
        <v>1003</v>
      </c>
      <c r="C2">
        <f>A2*LOG10(A2)</f>
        <v>40000</v>
      </c>
      <c r="D2">
        <f>B2/C2</f>
        <v>2.5075E-2</v>
      </c>
      <c r="E2" s="2">
        <f>$D$37*C2</f>
        <v>982.50578992181897</v>
      </c>
      <c r="G2">
        <v>1000</v>
      </c>
      <c r="H2">
        <v>1955</v>
      </c>
    </row>
    <row r="3" spans="1:8" x14ac:dyDescent="0.25">
      <c r="A3">
        <v>20000</v>
      </c>
      <c r="B3">
        <v>2952</v>
      </c>
      <c r="C3">
        <f t="shared" ref="C3:C36" si="0">A3*LOG10(A3)</f>
        <v>86020.599913279628</v>
      </c>
      <c r="D3">
        <f t="shared" ref="D3:D61" si="1">B3/C3</f>
        <v>3.4317361224823061E-2</v>
      </c>
      <c r="E3" s="2">
        <f>$D$37*C3</f>
        <v>2112.8934366836388</v>
      </c>
      <c r="G3">
        <v>2000</v>
      </c>
      <c r="H3">
        <v>8535</v>
      </c>
    </row>
    <row r="4" spans="1:8" x14ac:dyDescent="0.25">
      <c r="A4">
        <v>30000</v>
      </c>
      <c r="B4">
        <v>3718</v>
      </c>
      <c r="C4">
        <f t="shared" si="0"/>
        <v>134313.63764158988</v>
      </c>
      <c r="D4">
        <f t="shared" si="1"/>
        <v>2.7681477959232419E-2</v>
      </c>
      <c r="E4" s="2">
        <f>$D$37*C4</f>
        <v>3299.0981662080808</v>
      </c>
      <c r="G4">
        <v>3000</v>
      </c>
      <c r="H4">
        <v>18001</v>
      </c>
    </row>
    <row r="5" spans="1:8" x14ac:dyDescent="0.25">
      <c r="A5">
        <v>40000</v>
      </c>
      <c r="B5">
        <v>9220</v>
      </c>
      <c r="C5">
        <f t="shared" si="0"/>
        <v>184082.39965311851</v>
      </c>
      <c r="D5">
        <f t="shared" si="1"/>
        <v>5.0086265810169783E-2</v>
      </c>
      <c r="E5" s="2">
        <f>$D$37*C5</f>
        <v>4521.5505870472798</v>
      </c>
      <c r="G5">
        <v>4000</v>
      </c>
      <c r="H5">
        <v>29865</v>
      </c>
    </row>
    <row r="6" spans="1:8" x14ac:dyDescent="0.25">
      <c r="A6">
        <v>50000</v>
      </c>
      <c r="B6">
        <v>5301</v>
      </c>
      <c r="C6">
        <f t="shared" si="0"/>
        <v>234948.50021680092</v>
      </c>
      <c r="D6">
        <f t="shared" si="1"/>
        <v>2.2562391311748968E-2</v>
      </c>
      <c r="E6" s="2">
        <f>$D$37*C6</f>
        <v>5770.9565449113661</v>
      </c>
      <c r="G6">
        <v>5000</v>
      </c>
      <c r="H6">
        <v>49041</v>
      </c>
    </row>
    <row r="7" spans="1:8" x14ac:dyDescent="0.25">
      <c r="A7">
        <v>60000</v>
      </c>
      <c r="B7">
        <v>6529</v>
      </c>
      <c r="C7">
        <f t="shared" si="0"/>
        <v>286689.07502301864</v>
      </c>
      <c r="D7">
        <f t="shared" si="1"/>
        <v>2.2773801197257963E-2</v>
      </c>
      <c r="E7" s="2">
        <f>$D$37*C7</f>
        <v>7041.8419029361639</v>
      </c>
      <c r="G7">
        <v>6000</v>
      </c>
      <c r="H7">
        <v>66204</v>
      </c>
    </row>
    <row r="8" spans="1:8" x14ac:dyDescent="0.25">
      <c r="A8">
        <v>70000</v>
      </c>
      <c r="B8">
        <v>7499</v>
      </c>
      <c r="C8">
        <f t="shared" si="0"/>
        <v>339156.86280099797</v>
      </c>
      <c r="D8">
        <f t="shared" si="1"/>
        <v>2.211071283673265E-2</v>
      </c>
      <c r="E8" s="2">
        <f>$D$37*C8</f>
        <v>8330.5895348425129</v>
      </c>
      <c r="G8">
        <v>7000</v>
      </c>
      <c r="H8">
        <v>91132</v>
      </c>
    </row>
    <row r="9" spans="1:8" x14ac:dyDescent="0.25">
      <c r="A9">
        <v>80000</v>
      </c>
      <c r="B9">
        <v>8886</v>
      </c>
      <c r="C9">
        <f t="shared" si="0"/>
        <v>392247.19895935548</v>
      </c>
      <c r="D9">
        <f t="shared" si="1"/>
        <v>2.265408146590937E-2</v>
      </c>
      <c r="E9" s="2">
        <f>$D$37*C9</f>
        <v>9634.6286014545603</v>
      </c>
      <c r="G9">
        <v>8000</v>
      </c>
      <c r="H9">
        <v>119636</v>
      </c>
    </row>
    <row r="10" spans="1:8" x14ac:dyDescent="0.25">
      <c r="A10">
        <v>90000</v>
      </c>
      <c r="B10">
        <v>10237</v>
      </c>
      <c r="C10">
        <f t="shared" si="0"/>
        <v>445881.82584953925</v>
      </c>
      <c r="D10">
        <f t="shared" si="1"/>
        <v>2.2958998116811399E-2</v>
      </c>
      <c r="E10" s="2">
        <f>$D$37*C10</f>
        <v>10952.036887952112</v>
      </c>
      <c r="G10">
        <v>9000</v>
      </c>
      <c r="H10">
        <v>150762</v>
      </c>
    </row>
    <row r="11" spans="1:8" x14ac:dyDescent="0.25">
      <c r="A11">
        <v>100000</v>
      </c>
      <c r="B11">
        <v>11368</v>
      </c>
      <c r="C11">
        <f t="shared" si="0"/>
        <v>500000</v>
      </c>
      <c r="D11">
        <f t="shared" si="1"/>
        <v>2.2735999999999999E-2</v>
      </c>
      <c r="E11" s="2">
        <f>$D$37*C11</f>
        <v>12281.322374022737</v>
      </c>
      <c r="G11">
        <v>10000</v>
      </c>
      <c r="H11">
        <v>188045</v>
      </c>
    </row>
    <row r="12" spans="1:8" x14ac:dyDescent="0.25">
      <c r="A12">
        <v>110000</v>
      </c>
      <c r="B12">
        <v>12458</v>
      </c>
      <c r="C12">
        <f t="shared" si="0"/>
        <v>554553.19536740484</v>
      </c>
      <c r="D12">
        <f t="shared" si="1"/>
        <v>2.246493231681097E-2</v>
      </c>
      <c r="E12" s="2">
        <f>$D$37*C12</f>
        <v>13621.293131703022</v>
      </c>
      <c r="G12">
        <v>11000</v>
      </c>
      <c r="H12">
        <v>225598</v>
      </c>
    </row>
    <row r="13" spans="1:8" x14ac:dyDescent="0.25">
      <c r="A13">
        <v>120000</v>
      </c>
      <c r="B13">
        <v>13627</v>
      </c>
      <c r="C13">
        <f t="shared" si="0"/>
        <v>609501.74952571501</v>
      </c>
      <c r="D13">
        <f t="shared" si="1"/>
        <v>2.2357606045600158E-2</v>
      </c>
      <c r="E13" s="2">
        <f>$D$37*C13</f>
        <v>14970.974946912333</v>
      </c>
      <c r="G13">
        <v>12000</v>
      </c>
      <c r="H13">
        <v>270066</v>
      </c>
    </row>
    <row r="14" spans="1:8" x14ac:dyDescent="0.25">
      <c r="A14">
        <v>130000</v>
      </c>
      <c r="B14">
        <v>16349</v>
      </c>
      <c r="C14">
        <f t="shared" si="0"/>
        <v>664812.63579988875</v>
      </c>
      <c r="D14">
        <f t="shared" si="1"/>
        <v>2.45918911880025E-2</v>
      </c>
      <c r="E14" s="2">
        <f>$D$37*C14</f>
        <v>16329.556597164406</v>
      </c>
      <c r="G14">
        <v>13000</v>
      </c>
      <c r="H14">
        <v>313307</v>
      </c>
    </row>
    <row r="15" spans="1:8" x14ac:dyDescent="0.25">
      <c r="A15">
        <v>140000</v>
      </c>
      <c r="B15">
        <v>16150</v>
      </c>
      <c r="C15">
        <f t="shared" si="0"/>
        <v>720457.92499495333</v>
      </c>
      <c r="D15">
        <f t="shared" si="1"/>
        <v>2.2416298634112642E-2</v>
      </c>
      <c r="E15" s="2">
        <f>$D$37*C15</f>
        <v>17696.352067565029</v>
      </c>
      <c r="G15">
        <v>14000</v>
      </c>
      <c r="H15">
        <v>363336</v>
      </c>
    </row>
    <row r="16" spans="1:8" x14ac:dyDescent="0.25">
      <c r="A16">
        <v>150000</v>
      </c>
      <c r="B16">
        <v>17418</v>
      </c>
      <c r="C16">
        <f t="shared" si="0"/>
        <v>776413.68885835225</v>
      </c>
      <c r="D16">
        <f t="shared" si="1"/>
        <v>2.2433916673483219E-2</v>
      </c>
      <c r="E16" s="2">
        <f>$D$37*C16</f>
        <v>19070.773616947219</v>
      </c>
      <c r="G16">
        <v>15000</v>
      </c>
      <c r="H16">
        <v>417552</v>
      </c>
    </row>
    <row r="17" spans="1:8" x14ac:dyDescent="0.25">
      <c r="A17">
        <v>160000</v>
      </c>
      <c r="B17">
        <v>18779</v>
      </c>
      <c r="C17">
        <f t="shared" si="0"/>
        <v>832659.19722494797</v>
      </c>
      <c r="D17">
        <f t="shared" si="1"/>
        <v>2.2553044586051379E-2</v>
      </c>
      <c r="E17" s="2">
        <f>$D$37*C17</f>
        <v>20452.312057629129</v>
      </c>
      <c r="G17">
        <v>16000</v>
      </c>
      <c r="H17">
        <v>473873</v>
      </c>
    </row>
    <row r="18" spans="1:8" x14ac:dyDescent="0.25">
      <c r="A18">
        <v>170000</v>
      </c>
      <c r="B18">
        <v>19597</v>
      </c>
      <c r="C18">
        <f t="shared" si="0"/>
        <v>889176.31663430657</v>
      </c>
      <c r="D18">
        <f t="shared" si="1"/>
        <v>2.2039498391250675E-2</v>
      </c>
      <c r="E18" s="2">
        <f>$D$37*C18</f>
        <v>21840.52198386407</v>
      </c>
      <c r="G18">
        <v>17000</v>
      </c>
      <c r="H18">
        <v>533216</v>
      </c>
    </row>
    <row r="19" spans="1:8" x14ac:dyDescent="0.25">
      <c r="A19">
        <v>180000</v>
      </c>
      <c r="B19">
        <v>22057</v>
      </c>
      <c r="C19">
        <f t="shared" si="0"/>
        <v>945949.05091859517</v>
      </c>
      <c r="D19">
        <f t="shared" si="1"/>
        <v>2.3317323463225445E-2</v>
      </c>
      <c r="E19" s="2">
        <f>$D$37*C19</f>
        <v>23235.010487464231</v>
      </c>
      <c r="G19">
        <v>18000</v>
      </c>
      <c r="H19">
        <v>603031</v>
      </c>
    </row>
    <row r="20" spans="1:8" x14ac:dyDescent="0.25">
      <c r="A20">
        <v>190000</v>
      </c>
      <c r="B20">
        <v>22544</v>
      </c>
      <c r="C20">
        <f t="shared" si="0"/>
        <v>1002963.1841810375</v>
      </c>
      <c r="D20">
        <f t="shared" si="1"/>
        <v>2.2477395337704389E-2</v>
      </c>
      <c r="E20" s="2">
        <f>$D$37*C20</f>
        <v>24635.428388407327</v>
      </c>
      <c r="G20">
        <v>19000</v>
      </c>
      <c r="H20">
        <v>664946</v>
      </c>
    </row>
    <row r="21" spans="1:8" x14ac:dyDescent="0.25">
      <c r="A21">
        <v>200000</v>
      </c>
      <c r="B21">
        <v>24731</v>
      </c>
      <c r="C21">
        <f t="shared" si="0"/>
        <v>1060205.9991327962</v>
      </c>
      <c r="D21">
        <f t="shared" si="1"/>
        <v>2.3326598812144918E-2</v>
      </c>
      <c r="E21" s="2">
        <f>$D$37*C21</f>
        <v>26041.463316445483</v>
      </c>
      <c r="G21">
        <v>20000</v>
      </c>
      <c r="H21">
        <v>742333</v>
      </c>
    </row>
    <row r="22" spans="1:8" x14ac:dyDescent="0.25">
      <c r="A22">
        <v>210000</v>
      </c>
      <c r="B22">
        <v>25635</v>
      </c>
      <c r="C22">
        <f t="shared" si="0"/>
        <v>1117666.0518941232</v>
      </c>
      <c r="D22">
        <f t="shared" si="1"/>
        <v>2.2936189174356716E-2</v>
      </c>
      <c r="E22" s="2">
        <f>$D$37*C22</f>
        <v>27452.834179625905</v>
      </c>
      <c r="G22">
        <v>21000</v>
      </c>
      <c r="H22">
        <v>821042</v>
      </c>
    </row>
    <row r="23" spans="1:8" x14ac:dyDescent="0.25">
      <c r="A23">
        <v>220000</v>
      </c>
      <c r="B23">
        <v>28639</v>
      </c>
      <c r="C23">
        <f t="shared" si="0"/>
        <v>1175332.9897808854</v>
      </c>
      <c r="D23">
        <f t="shared" si="1"/>
        <v>2.4366711603440231E-2</v>
      </c>
      <c r="E23" s="2">
        <f>$D$37*C23</f>
        <v>28869.286688646051</v>
      </c>
      <c r="G23">
        <v>22000</v>
      </c>
      <c r="H23">
        <v>899234</v>
      </c>
    </row>
    <row r="24" spans="1:8" x14ac:dyDescent="0.25">
      <c r="A24">
        <v>230000</v>
      </c>
      <c r="B24">
        <v>28901</v>
      </c>
      <c r="C24">
        <f t="shared" si="0"/>
        <v>1233197.4022840464</v>
      </c>
      <c r="D24">
        <f t="shared" si="1"/>
        <v>2.3435826207930284E-2</v>
      </c>
      <c r="E24" s="2">
        <f>$D$37*C24</f>
        <v>30290.589696515555</v>
      </c>
      <c r="G24">
        <v>23000</v>
      </c>
      <c r="H24">
        <v>984769</v>
      </c>
    </row>
    <row r="25" spans="1:8" x14ac:dyDescent="0.25">
      <c r="A25">
        <v>240000</v>
      </c>
      <c r="B25">
        <v>30401</v>
      </c>
      <c r="C25">
        <f t="shared" si="0"/>
        <v>1291250.6980107855</v>
      </c>
      <c r="D25">
        <f t="shared" si="1"/>
        <v>2.3543840128670404E-2</v>
      </c>
      <c r="E25" s="2">
        <f>$D$37*C25</f>
        <v>31716.532175904675</v>
      </c>
      <c r="G25">
        <v>24000</v>
      </c>
      <c r="H25">
        <v>1073926</v>
      </c>
    </row>
    <row r="26" spans="1:8" x14ac:dyDescent="0.25">
      <c r="A26">
        <v>250000</v>
      </c>
      <c r="B26">
        <v>34376</v>
      </c>
      <c r="C26">
        <f t="shared" si="0"/>
        <v>1349485.0021680093</v>
      </c>
      <c r="D26">
        <f t="shared" si="1"/>
        <v>2.5473421301291519E-2</v>
      </c>
      <c r="E26" s="2">
        <f>$D$37*C26</f>
        <v>33146.920701068186</v>
      </c>
      <c r="G26">
        <v>25000</v>
      </c>
      <c r="H26">
        <v>1166313</v>
      </c>
    </row>
    <row r="27" spans="1:8" x14ac:dyDescent="0.25">
      <c r="A27">
        <v>260000</v>
      </c>
      <c r="B27">
        <v>33094</v>
      </c>
      <c r="C27">
        <f t="shared" si="0"/>
        <v>1407893.0704724127</v>
      </c>
      <c r="D27">
        <f t="shared" si="1"/>
        <v>2.3506046513103045E-2</v>
      </c>
      <c r="E27" s="2">
        <f>$D$37*C27</f>
        <v>34581.577333248824</v>
      </c>
      <c r="G27">
        <v>26000</v>
      </c>
      <c r="H27">
        <v>1246657</v>
      </c>
    </row>
    <row r="28" spans="1:8" x14ac:dyDescent="0.25">
      <c r="A28">
        <v>270000</v>
      </c>
      <c r="B28">
        <v>35910</v>
      </c>
      <c r="C28">
        <f t="shared" si="0"/>
        <v>1466468.2163229266</v>
      </c>
      <c r="D28">
        <f t="shared" si="1"/>
        <v>2.4487404227581545E-2</v>
      </c>
      <c r="E28" s="2">
        <f>$D$37*C28</f>
        <v>36020.337831839948</v>
      </c>
      <c r="G28">
        <v>27000</v>
      </c>
      <c r="H28">
        <v>1359774</v>
      </c>
    </row>
    <row r="29" spans="1:8" x14ac:dyDescent="0.25">
      <c r="A29">
        <v>280000</v>
      </c>
      <c r="B29">
        <v>34610</v>
      </c>
      <c r="C29">
        <f t="shared" si="0"/>
        <v>1525204.2487758214</v>
      </c>
      <c r="D29">
        <f t="shared" si="1"/>
        <v>2.2692042739704609E-2</v>
      </c>
      <c r="E29" s="2">
        <f>$D$37*C29</f>
        <v>37463.050130890071</v>
      </c>
      <c r="G29">
        <v>28000</v>
      </c>
      <c r="H29">
        <v>1452754</v>
      </c>
    </row>
    <row r="30" spans="1:8" x14ac:dyDescent="0.25">
      <c r="A30">
        <v>290000</v>
      </c>
      <c r="B30">
        <v>38177</v>
      </c>
      <c r="C30">
        <f t="shared" si="0"/>
        <v>1584095.4193906975</v>
      </c>
      <c r="D30">
        <f t="shared" si="1"/>
        <v>2.4100189630422836E-2</v>
      </c>
      <c r="E30" s="2">
        <f>$D$37*C30</f>
        <v>38909.573033499808</v>
      </c>
      <c r="G30">
        <v>29000</v>
      </c>
      <c r="H30">
        <v>1553013</v>
      </c>
    </row>
    <row r="31" spans="1:8" x14ac:dyDescent="0.25">
      <c r="A31">
        <v>300000</v>
      </c>
      <c r="B31">
        <v>39101</v>
      </c>
      <c r="C31">
        <f t="shared" si="0"/>
        <v>1643136.3764158988</v>
      </c>
      <c r="D31">
        <f t="shared" si="1"/>
        <v>2.3796564035231997E-2</v>
      </c>
      <c r="E31" s="2">
        <f>$D$37*C31</f>
        <v>40359.775086494446</v>
      </c>
      <c r="G31">
        <v>30000</v>
      </c>
      <c r="H31">
        <v>1659460</v>
      </c>
    </row>
    <row r="32" spans="1:8" x14ac:dyDescent="0.25">
      <c r="A32">
        <v>310000</v>
      </c>
      <c r="B32">
        <v>41682</v>
      </c>
      <c r="C32">
        <f t="shared" si="0"/>
        <v>1702322.1250886247</v>
      </c>
      <c r="D32">
        <f t="shared" si="1"/>
        <v>2.4485377582594711E-2</v>
      </c>
      <c r="E32" s="2">
        <f>$D$37*C32</f>
        <v>41813.533605289718</v>
      </c>
      <c r="G32">
        <v>31000</v>
      </c>
      <c r="H32">
        <v>1778621</v>
      </c>
    </row>
    <row r="33" spans="1:8" x14ac:dyDescent="0.25">
      <c r="A33">
        <v>320000</v>
      </c>
      <c r="B33">
        <v>42027</v>
      </c>
      <c r="C33">
        <f t="shared" si="0"/>
        <v>1761647.99306237</v>
      </c>
      <c r="D33">
        <f t="shared" si="1"/>
        <v>2.3856638877635335E-2</v>
      </c>
      <c r="E33" s="2">
        <f>$D$37*C33</f>
        <v>43270.733824698269</v>
      </c>
      <c r="G33">
        <v>32000</v>
      </c>
      <c r="H33">
        <v>1897804</v>
      </c>
    </row>
    <row r="34" spans="1:8" x14ac:dyDescent="0.25">
      <c r="A34">
        <v>330000</v>
      </c>
      <c r="B34">
        <v>43238</v>
      </c>
      <c r="C34">
        <f t="shared" si="0"/>
        <v>1821109.6001597028</v>
      </c>
      <c r="D34">
        <f t="shared" si="1"/>
        <v>2.3742667655042963E-2</v>
      </c>
      <c r="E34" s="2">
        <f>$D$37*C34</f>
        <v>44731.268155977916</v>
      </c>
    </row>
    <row r="35" spans="1:8" x14ac:dyDescent="0.25">
      <c r="A35">
        <v>340000</v>
      </c>
      <c r="B35">
        <v>45363</v>
      </c>
      <c r="C35">
        <f t="shared" si="0"/>
        <v>1880702.8317943669</v>
      </c>
      <c r="D35">
        <f t="shared" si="1"/>
        <v>2.4120238047772514E-2</v>
      </c>
      <c r="E35" s="2">
        <f>$D$37*C35</f>
        <v>46195.035534008159</v>
      </c>
    </row>
    <row r="36" spans="1:8" x14ac:dyDescent="0.25">
      <c r="A36">
        <v>350000</v>
      </c>
      <c r="B36">
        <v>46987</v>
      </c>
      <c r="C36">
        <f t="shared" si="0"/>
        <v>1940423.8155225965</v>
      </c>
      <c r="D36">
        <f t="shared" si="1"/>
        <v>2.4214813085740975E-2</v>
      </c>
      <c r="E36" s="2">
        <f>$D$37*C36</f>
        <v>47661.940841328462</v>
      </c>
    </row>
    <row r="37" spans="1:8" x14ac:dyDescent="0.25">
      <c r="C37" t="s">
        <v>4</v>
      </c>
      <c r="D37">
        <f>AVERAGE(D2:D36)</f>
        <v>2.4562644748045474E-2</v>
      </c>
      <c r="E37" s="2"/>
    </row>
    <row r="38" spans="1:8" x14ac:dyDescent="0.25">
      <c r="E38" s="2"/>
    </row>
    <row r="39" spans="1:8" x14ac:dyDescent="0.25">
      <c r="D39"/>
      <c r="E39" s="2"/>
    </row>
    <row r="40" spans="1:8" x14ac:dyDescent="0.25">
      <c r="D40"/>
      <c r="E40" s="2"/>
    </row>
    <row r="41" spans="1:8" x14ac:dyDescent="0.25">
      <c r="D41"/>
      <c r="E41" s="2"/>
    </row>
    <row r="42" spans="1:8" x14ac:dyDescent="0.25">
      <c r="D42"/>
      <c r="E42" s="2"/>
    </row>
    <row r="43" spans="1:8" x14ac:dyDescent="0.25">
      <c r="D43"/>
      <c r="E43" s="2"/>
    </row>
    <row r="44" spans="1:8" x14ac:dyDescent="0.25">
      <c r="D44"/>
      <c r="E44" s="2"/>
    </row>
    <row r="45" spans="1:8" x14ac:dyDescent="0.25">
      <c r="D45"/>
      <c r="E45" s="2"/>
    </row>
    <row r="46" spans="1:8" x14ac:dyDescent="0.25">
      <c r="D46"/>
      <c r="E46" s="2"/>
    </row>
    <row r="47" spans="1:8" x14ac:dyDescent="0.25">
      <c r="D47"/>
      <c r="E47" s="2"/>
    </row>
    <row r="48" spans="1:8" x14ac:dyDescent="0.25">
      <c r="D48"/>
      <c r="E48" s="2"/>
    </row>
    <row r="49" spans="4:5" x14ac:dyDescent="0.25">
      <c r="D49"/>
      <c r="E49" s="2"/>
    </row>
    <row r="50" spans="4:5" x14ac:dyDescent="0.25">
      <c r="D50"/>
      <c r="E50" s="2"/>
    </row>
    <row r="51" spans="4:5" x14ac:dyDescent="0.25">
      <c r="D51"/>
      <c r="E51" s="2"/>
    </row>
    <row r="52" spans="4:5" x14ac:dyDescent="0.25">
      <c r="D52"/>
      <c r="E52" s="2"/>
    </row>
    <row r="53" spans="4:5" x14ac:dyDescent="0.25">
      <c r="D53"/>
      <c r="E53" s="2"/>
    </row>
    <row r="54" spans="4:5" x14ac:dyDescent="0.25">
      <c r="D54"/>
      <c r="E54" s="2"/>
    </row>
    <row r="55" spans="4:5" x14ac:dyDescent="0.25">
      <c r="D55"/>
      <c r="E55" s="2"/>
    </row>
    <row r="56" spans="4:5" x14ac:dyDescent="0.25">
      <c r="D56"/>
      <c r="E56" s="2"/>
    </row>
    <row r="57" spans="4:5" x14ac:dyDescent="0.25">
      <c r="D57"/>
      <c r="E57" s="2"/>
    </row>
    <row r="58" spans="4:5" x14ac:dyDescent="0.25">
      <c r="D58"/>
      <c r="E58" s="2"/>
    </row>
    <row r="59" spans="4:5" x14ac:dyDescent="0.25">
      <c r="D59"/>
      <c r="E59" s="2"/>
    </row>
    <row r="60" spans="4:5" x14ac:dyDescent="0.25">
      <c r="D60"/>
      <c r="E60" s="2"/>
    </row>
    <row r="61" spans="4:5" x14ac:dyDescent="0.25">
      <c r="D61"/>
      <c r="E61" s="2"/>
    </row>
  </sheetData>
  <pageMargins left="0.7" right="0.7" top="0.75" bottom="0.75" header="0.511811023622047" footer="0.511811023622047"/>
  <pageSetup paperSize="9" orientation="portrait" horizontalDpi="300" verticalDpi="300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51518-1057-4C32-B19F-39BFAD150482}">
  <dimension ref="A1:F36"/>
  <sheetViews>
    <sheetView topLeftCell="A10" workbookViewId="0">
      <selection activeCell="M31" sqref="M31"/>
    </sheetView>
  </sheetViews>
  <sheetFormatPr baseColWidth="10" defaultRowHeight="15" x14ac:dyDescent="0.25"/>
  <cols>
    <col min="1" max="1" width="18.7109375" customWidth="1"/>
    <col min="2" max="2" width="20.42578125" customWidth="1"/>
    <col min="3" max="3" width="18.7109375" customWidth="1"/>
  </cols>
  <sheetData>
    <row r="1" spans="1:6" x14ac:dyDescent="0.25">
      <c r="A1" t="s">
        <v>0</v>
      </c>
      <c r="B1" t="s">
        <v>13</v>
      </c>
      <c r="C1" t="s">
        <v>14</v>
      </c>
      <c r="E1" t="s">
        <v>0</v>
      </c>
      <c r="F1" t="s">
        <v>15</v>
      </c>
    </row>
    <row r="2" spans="1:6" x14ac:dyDescent="0.25">
      <c r="A2">
        <v>10000</v>
      </c>
      <c r="B2">
        <v>2666</v>
      </c>
      <c r="C2">
        <v>1003</v>
      </c>
      <c r="E2">
        <v>1000</v>
      </c>
      <c r="F2">
        <v>2338</v>
      </c>
    </row>
    <row r="3" spans="1:6" x14ac:dyDescent="0.25">
      <c r="A3">
        <v>20000</v>
      </c>
      <c r="B3">
        <v>6382</v>
      </c>
      <c r="C3">
        <v>2952</v>
      </c>
      <c r="E3">
        <v>2000</v>
      </c>
      <c r="F3">
        <v>8862</v>
      </c>
    </row>
    <row r="4" spans="1:6" x14ac:dyDescent="0.25">
      <c r="A4">
        <v>30000</v>
      </c>
      <c r="B4">
        <v>7306</v>
      </c>
      <c r="C4">
        <v>3718</v>
      </c>
      <c r="E4">
        <v>3000</v>
      </c>
      <c r="F4">
        <v>21128</v>
      </c>
    </row>
    <row r="5" spans="1:6" x14ac:dyDescent="0.25">
      <c r="A5">
        <v>40000</v>
      </c>
      <c r="B5">
        <v>10186</v>
      </c>
      <c r="C5">
        <v>9220</v>
      </c>
      <c r="E5">
        <v>4000</v>
      </c>
      <c r="F5">
        <v>36625</v>
      </c>
    </row>
    <row r="6" spans="1:6" x14ac:dyDescent="0.25">
      <c r="A6">
        <v>50000</v>
      </c>
      <c r="B6">
        <v>12490</v>
      </c>
      <c r="C6">
        <v>5301</v>
      </c>
      <c r="E6">
        <v>5000</v>
      </c>
      <c r="F6">
        <v>58964</v>
      </c>
    </row>
    <row r="7" spans="1:6" x14ac:dyDescent="0.25">
      <c r="A7">
        <v>60000</v>
      </c>
      <c r="B7">
        <v>15758</v>
      </c>
      <c r="C7">
        <v>6529</v>
      </c>
      <c r="E7">
        <v>6000</v>
      </c>
      <c r="F7">
        <v>89837</v>
      </c>
    </row>
    <row r="8" spans="1:6" x14ac:dyDescent="0.25">
      <c r="A8">
        <v>70000</v>
      </c>
      <c r="B8">
        <v>17252</v>
      </c>
      <c r="C8">
        <v>7499</v>
      </c>
      <c r="E8">
        <v>7000</v>
      </c>
      <c r="F8">
        <v>126509</v>
      </c>
    </row>
    <row r="9" spans="1:6" x14ac:dyDescent="0.25">
      <c r="A9">
        <v>80000</v>
      </c>
      <c r="B9">
        <v>19471</v>
      </c>
      <c r="C9">
        <v>8886</v>
      </c>
      <c r="E9">
        <v>8000</v>
      </c>
      <c r="F9">
        <v>172619</v>
      </c>
    </row>
    <row r="10" spans="1:6" x14ac:dyDescent="0.25">
      <c r="A10">
        <v>90000</v>
      </c>
      <c r="B10">
        <v>23714</v>
      </c>
      <c r="C10">
        <v>10237</v>
      </c>
      <c r="E10">
        <v>9000</v>
      </c>
      <c r="F10">
        <v>206162</v>
      </c>
    </row>
    <row r="11" spans="1:6" x14ac:dyDescent="0.25">
      <c r="A11">
        <v>100000</v>
      </c>
      <c r="B11">
        <v>24696</v>
      </c>
      <c r="C11">
        <v>11368</v>
      </c>
      <c r="E11">
        <v>10000</v>
      </c>
      <c r="F11">
        <v>257846</v>
      </c>
    </row>
    <row r="12" spans="1:6" x14ac:dyDescent="0.25">
      <c r="A12">
        <v>110000</v>
      </c>
      <c r="B12">
        <v>27595</v>
      </c>
      <c r="C12">
        <v>12458</v>
      </c>
      <c r="E12">
        <v>11000</v>
      </c>
      <c r="F12">
        <v>320095</v>
      </c>
    </row>
    <row r="13" spans="1:6" x14ac:dyDescent="0.25">
      <c r="A13">
        <v>120000</v>
      </c>
      <c r="B13">
        <v>30894</v>
      </c>
      <c r="C13">
        <v>13627</v>
      </c>
      <c r="E13">
        <v>12000</v>
      </c>
      <c r="F13">
        <v>383531</v>
      </c>
    </row>
    <row r="14" spans="1:6" x14ac:dyDescent="0.25">
      <c r="A14">
        <v>130000</v>
      </c>
      <c r="B14">
        <v>35876</v>
      </c>
      <c r="C14">
        <v>16349</v>
      </c>
      <c r="E14">
        <v>13000</v>
      </c>
      <c r="F14">
        <v>448301</v>
      </c>
    </row>
    <row r="15" spans="1:6" x14ac:dyDescent="0.25">
      <c r="A15">
        <v>140000</v>
      </c>
      <c r="B15">
        <v>37812</v>
      </c>
      <c r="C15">
        <v>16150</v>
      </c>
      <c r="E15">
        <v>14000</v>
      </c>
      <c r="F15">
        <v>510758</v>
      </c>
    </row>
    <row r="16" spans="1:6" x14ac:dyDescent="0.25">
      <c r="A16">
        <v>150000</v>
      </c>
      <c r="B16">
        <v>40721</v>
      </c>
      <c r="C16">
        <v>17418</v>
      </c>
      <c r="E16">
        <v>15000</v>
      </c>
      <c r="F16">
        <v>597212</v>
      </c>
    </row>
    <row r="17" spans="1:6" x14ac:dyDescent="0.25">
      <c r="A17">
        <v>160000</v>
      </c>
      <c r="B17">
        <v>45301</v>
      </c>
      <c r="C17">
        <v>18779</v>
      </c>
      <c r="E17">
        <v>16000</v>
      </c>
      <c r="F17">
        <v>680927</v>
      </c>
    </row>
    <row r="18" spans="1:6" x14ac:dyDescent="0.25">
      <c r="A18">
        <v>170000</v>
      </c>
      <c r="B18">
        <v>43627</v>
      </c>
      <c r="C18">
        <v>19597</v>
      </c>
      <c r="E18">
        <v>17000</v>
      </c>
      <c r="F18">
        <v>762225</v>
      </c>
    </row>
    <row r="19" spans="1:6" x14ac:dyDescent="0.25">
      <c r="A19">
        <v>180000</v>
      </c>
      <c r="B19">
        <v>45962</v>
      </c>
      <c r="C19">
        <v>22057</v>
      </c>
      <c r="E19">
        <v>18000</v>
      </c>
      <c r="F19">
        <v>857677</v>
      </c>
    </row>
    <row r="20" spans="1:6" x14ac:dyDescent="0.25">
      <c r="A20">
        <v>190000</v>
      </c>
      <c r="B20">
        <v>51853</v>
      </c>
      <c r="C20">
        <v>22544</v>
      </c>
      <c r="E20">
        <v>19000</v>
      </c>
      <c r="F20">
        <v>960859</v>
      </c>
    </row>
    <row r="21" spans="1:6" x14ac:dyDescent="0.25">
      <c r="A21">
        <v>200000</v>
      </c>
      <c r="B21">
        <v>51899</v>
      </c>
      <c r="C21">
        <v>24731</v>
      </c>
      <c r="E21">
        <v>20000</v>
      </c>
      <c r="F21">
        <v>1061429</v>
      </c>
    </row>
    <row r="22" spans="1:6" x14ac:dyDescent="0.25">
      <c r="A22">
        <v>210000</v>
      </c>
      <c r="B22">
        <v>54286</v>
      </c>
      <c r="C22">
        <v>25635</v>
      </c>
      <c r="E22">
        <v>21000</v>
      </c>
      <c r="F22">
        <v>1170663</v>
      </c>
    </row>
    <row r="23" spans="1:6" x14ac:dyDescent="0.25">
      <c r="A23">
        <v>220000</v>
      </c>
      <c r="B23">
        <v>57979</v>
      </c>
      <c r="C23">
        <v>28639</v>
      </c>
      <c r="E23">
        <v>22000</v>
      </c>
      <c r="F23">
        <v>1284151</v>
      </c>
    </row>
    <row r="24" spans="1:6" x14ac:dyDescent="0.25">
      <c r="A24">
        <v>230000</v>
      </c>
      <c r="B24">
        <v>61517</v>
      </c>
      <c r="C24">
        <v>28901</v>
      </c>
      <c r="E24">
        <v>23000</v>
      </c>
      <c r="F24">
        <v>1415770</v>
      </c>
    </row>
    <row r="25" spans="1:6" x14ac:dyDescent="0.25">
      <c r="A25">
        <v>240000</v>
      </c>
      <c r="B25">
        <v>61245</v>
      </c>
      <c r="C25">
        <v>30401</v>
      </c>
      <c r="E25">
        <v>24000</v>
      </c>
      <c r="F25">
        <v>1533342</v>
      </c>
    </row>
    <row r="26" spans="1:6" x14ac:dyDescent="0.25">
      <c r="A26">
        <v>250000</v>
      </c>
      <c r="B26">
        <v>69429</v>
      </c>
      <c r="C26">
        <v>34376</v>
      </c>
      <c r="E26">
        <v>25000</v>
      </c>
      <c r="F26">
        <v>1674880</v>
      </c>
    </row>
    <row r="27" spans="1:6" x14ac:dyDescent="0.25">
      <c r="A27">
        <v>260000</v>
      </c>
      <c r="B27">
        <v>67626</v>
      </c>
      <c r="C27">
        <v>33094</v>
      </c>
      <c r="E27">
        <v>26000</v>
      </c>
      <c r="F27">
        <v>1808805</v>
      </c>
    </row>
    <row r="28" spans="1:6" x14ac:dyDescent="0.25">
      <c r="A28">
        <v>270000</v>
      </c>
      <c r="B28">
        <v>71582</v>
      </c>
      <c r="C28">
        <v>35910</v>
      </c>
      <c r="E28">
        <v>27000</v>
      </c>
      <c r="F28">
        <v>1960424</v>
      </c>
    </row>
    <row r="29" spans="1:6" x14ac:dyDescent="0.25">
      <c r="A29">
        <v>280000</v>
      </c>
      <c r="B29">
        <v>74553</v>
      </c>
      <c r="C29">
        <v>34610</v>
      </c>
      <c r="E29">
        <v>28000</v>
      </c>
      <c r="F29">
        <v>2105079</v>
      </c>
    </row>
    <row r="30" spans="1:6" x14ac:dyDescent="0.25">
      <c r="A30">
        <v>290000</v>
      </c>
      <c r="B30">
        <v>78696</v>
      </c>
      <c r="C30">
        <v>38177</v>
      </c>
      <c r="E30">
        <v>29000</v>
      </c>
      <c r="F30">
        <v>2264073</v>
      </c>
    </row>
    <row r="31" spans="1:6" x14ac:dyDescent="0.25">
      <c r="A31">
        <v>300000</v>
      </c>
      <c r="B31">
        <v>79544</v>
      </c>
      <c r="C31">
        <v>39101</v>
      </c>
      <c r="E31">
        <v>30000</v>
      </c>
      <c r="F31">
        <v>2410573</v>
      </c>
    </row>
    <row r="32" spans="1:6" x14ac:dyDescent="0.25">
      <c r="A32">
        <v>310000</v>
      </c>
      <c r="B32">
        <v>81769</v>
      </c>
      <c r="C32">
        <v>41682</v>
      </c>
      <c r="E32">
        <v>31000</v>
      </c>
      <c r="F32">
        <v>2580920</v>
      </c>
    </row>
    <row r="33" spans="1:6" x14ac:dyDescent="0.25">
      <c r="A33">
        <v>320000</v>
      </c>
      <c r="B33">
        <v>85105</v>
      </c>
      <c r="C33">
        <v>42027</v>
      </c>
      <c r="E33">
        <v>32000</v>
      </c>
      <c r="F33">
        <v>2758535</v>
      </c>
    </row>
    <row r="34" spans="1:6" x14ac:dyDescent="0.25">
      <c r="A34">
        <v>330000</v>
      </c>
      <c r="B34">
        <v>92620</v>
      </c>
      <c r="C34">
        <v>43238</v>
      </c>
      <c r="E34">
        <v>33000</v>
      </c>
      <c r="F34">
        <v>2931504</v>
      </c>
    </row>
    <row r="35" spans="1:6" x14ac:dyDescent="0.25">
      <c r="A35">
        <v>340000</v>
      </c>
      <c r="B35">
        <v>92714</v>
      </c>
      <c r="C35">
        <v>45363</v>
      </c>
      <c r="E35">
        <v>34000</v>
      </c>
      <c r="F35">
        <v>3120316</v>
      </c>
    </row>
    <row r="36" spans="1:6" x14ac:dyDescent="0.25">
      <c r="A36">
        <v>350000</v>
      </c>
      <c r="B36">
        <v>92682</v>
      </c>
      <c r="C36">
        <v>46987</v>
      </c>
      <c r="E36">
        <v>35000</v>
      </c>
      <c r="F36">
        <v>3313908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CFC22-312D-4A40-B245-A9F8CC73A28D}">
  <dimension ref="A1:D26"/>
  <sheetViews>
    <sheetView workbookViewId="0">
      <selection activeCell="H32" sqref="H32"/>
    </sheetView>
  </sheetViews>
  <sheetFormatPr baseColWidth="10" defaultRowHeight="15" x14ac:dyDescent="0.25"/>
  <sheetData>
    <row r="1" spans="1:4" x14ac:dyDescent="0.25">
      <c r="A1" t="s">
        <v>0</v>
      </c>
      <c r="B1" t="s">
        <v>16</v>
      </c>
      <c r="C1" t="s">
        <v>17</v>
      </c>
      <c r="D1" t="s">
        <v>18</v>
      </c>
    </row>
    <row r="2" spans="1:4" x14ac:dyDescent="0.25">
      <c r="A2">
        <v>2</v>
      </c>
      <c r="B2">
        <v>100</v>
      </c>
      <c r="C2">
        <v>600</v>
      </c>
      <c r="D2">
        <v>200</v>
      </c>
    </row>
    <row r="3" spans="1:4" x14ac:dyDescent="0.25">
      <c r="A3">
        <v>4</v>
      </c>
      <c r="B3">
        <v>200</v>
      </c>
      <c r="C3">
        <v>1100</v>
      </c>
      <c r="D3">
        <v>200</v>
      </c>
    </row>
    <row r="4" spans="1:4" x14ac:dyDescent="0.25">
      <c r="A4">
        <v>6</v>
      </c>
      <c r="B4">
        <v>200</v>
      </c>
      <c r="C4">
        <v>3300</v>
      </c>
      <c r="D4">
        <v>300</v>
      </c>
    </row>
    <row r="5" spans="1:4" x14ac:dyDescent="0.25">
      <c r="A5">
        <v>8</v>
      </c>
      <c r="B5">
        <v>400</v>
      </c>
      <c r="C5">
        <v>1700</v>
      </c>
      <c r="D5">
        <v>300</v>
      </c>
    </row>
    <row r="6" spans="1:4" x14ac:dyDescent="0.25">
      <c r="A6">
        <v>10</v>
      </c>
      <c r="B6">
        <v>500</v>
      </c>
      <c r="C6">
        <v>2200</v>
      </c>
      <c r="D6">
        <v>400</v>
      </c>
    </row>
    <row r="7" spans="1:4" x14ac:dyDescent="0.25">
      <c r="A7">
        <v>12</v>
      </c>
      <c r="B7">
        <v>700</v>
      </c>
      <c r="C7">
        <v>2600</v>
      </c>
      <c r="D7">
        <v>500</v>
      </c>
    </row>
    <row r="8" spans="1:4" x14ac:dyDescent="0.25">
      <c r="A8">
        <v>14</v>
      </c>
      <c r="B8">
        <v>800</v>
      </c>
      <c r="C8">
        <v>3000</v>
      </c>
      <c r="D8">
        <v>600</v>
      </c>
    </row>
    <row r="9" spans="1:4" x14ac:dyDescent="0.25">
      <c r="A9">
        <v>16</v>
      </c>
      <c r="B9">
        <v>1000</v>
      </c>
      <c r="C9">
        <v>4400</v>
      </c>
      <c r="D9">
        <v>600</v>
      </c>
    </row>
    <row r="10" spans="1:4" x14ac:dyDescent="0.25">
      <c r="A10">
        <v>18</v>
      </c>
      <c r="B10">
        <v>1200</v>
      </c>
      <c r="C10">
        <v>4500</v>
      </c>
      <c r="D10">
        <v>700</v>
      </c>
    </row>
    <row r="11" spans="1:4" x14ac:dyDescent="0.25">
      <c r="A11">
        <v>20</v>
      </c>
      <c r="B11">
        <v>2100</v>
      </c>
      <c r="C11">
        <v>4100</v>
      </c>
      <c r="D11">
        <v>800</v>
      </c>
    </row>
    <row r="12" spans="1:4" x14ac:dyDescent="0.25">
      <c r="A12">
        <v>22</v>
      </c>
      <c r="B12">
        <v>1800</v>
      </c>
      <c r="C12">
        <v>4300</v>
      </c>
      <c r="D12">
        <v>800</v>
      </c>
    </row>
    <row r="13" spans="1:4" x14ac:dyDescent="0.25">
      <c r="A13">
        <v>24</v>
      </c>
      <c r="B13">
        <v>2300</v>
      </c>
      <c r="C13">
        <v>4900</v>
      </c>
      <c r="D13">
        <v>1100</v>
      </c>
    </row>
    <row r="14" spans="1:4" x14ac:dyDescent="0.25">
      <c r="A14">
        <v>26</v>
      </c>
      <c r="B14">
        <v>2300</v>
      </c>
      <c r="C14">
        <v>5500</v>
      </c>
      <c r="D14">
        <v>900</v>
      </c>
    </row>
    <row r="15" spans="1:4" x14ac:dyDescent="0.25">
      <c r="A15">
        <v>28</v>
      </c>
      <c r="B15">
        <v>3000</v>
      </c>
      <c r="C15">
        <v>7000</v>
      </c>
      <c r="D15">
        <v>1000</v>
      </c>
    </row>
    <row r="16" spans="1:4" x14ac:dyDescent="0.25">
      <c r="A16">
        <v>30</v>
      </c>
      <c r="B16">
        <v>3000</v>
      </c>
      <c r="C16">
        <v>6200</v>
      </c>
      <c r="D16">
        <v>1200</v>
      </c>
    </row>
    <row r="17" spans="1:4" x14ac:dyDescent="0.25">
      <c r="A17">
        <v>32</v>
      </c>
      <c r="B17">
        <v>3500</v>
      </c>
      <c r="C17">
        <v>6700</v>
      </c>
      <c r="D17">
        <v>1200</v>
      </c>
    </row>
    <row r="18" spans="1:4" x14ac:dyDescent="0.25">
      <c r="A18">
        <v>34</v>
      </c>
      <c r="B18">
        <v>4100</v>
      </c>
      <c r="C18">
        <v>7200</v>
      </c>
      <c r="D18">
        <v>1500</v>
      </c>
    </row>
    <row r="19" spans="1:4" x14ac:dyDescent="0.25">
      <c r="A19">
        <v>36</v>
      </c>
      <c r="B19">
        <v>4400</v>
      </c>
      <c r="C19">
        <v>6800</v>
      </c>
      <c r="D19">
        <v>1500</v>
      </c>
    </row>
    <row r="20" spans="1:4" x14ac:dyDescent="0.25">
      <c r="A20">
        <v>38</v>
      </c>
      <c r="B20">
        <v>4700</v>
      </c>
      <c r="C20">
        <v>7200</v>
      </c>
      <c r="D20">
        <v>1700</v>
      </c>
    </row>
    <row r="21" spans="1:4" x14ac:dyDescent="0.25">
      <c r="A21">
        <v>40</v>
      </c>
      <c r="B21">
        <v>5100</v>
      </c>
      <c r="C21">
        <v>7600</v>
      </c>
      <c r="D21">
        <v>1800</v>
      </c>
    </row>
    <row r="22" spans="1:4" x14ac:dyDescent="0.25">
      <c r="A22">
        <v>42</v>
      </c>
      <c r="B22">
        <v>5600</v>
      </c>
      <c r="C22">
        <v>8400</v>
      </c>
      <c r="D22">
        <v>1700</v>
      </c>
    </row>
    <row r="23" spans="1:4" x14ac:dyDescent="0.25">
      <c r="A23">
        <v>44</v>
      </c>
      <c r="B23">
        <v>6000</v>
      </c>
      <c r="C23">
        <v>8400</v>
      </c>
      <c r="D23">
        <v>1800</v>
      </c>
    </row>
    <row r="24" spans="1:4" x14ac:dyDescent="0.25">
      <c r="A24">
        <v>46</v>
      </c>
      <c r="B24">
        <v>6700</v>
      </c>
      <c r="C24">
        <v>9300</v>
      </c>
      <c r="D24">
        <v>2400</v>
      </c>
    </row>
    <row r="25" spans="1:4" x14ac:dyDescent="0.25">
      <c r="A25">
        <v>48</v>
      </c>
      <c r="B25">
        <v>7100</v>
      </c>
      <c r="C25">
        <v>10700</v>
      </c>
      <c r="D25">
        <v>2100</v>
      </c>
    </row>
    <row r="26" spans="1:4" x14ac:dyDescent="0.25">
      <c r="A26">
        <v>50</v>
      </c>
      <c r="B26">
        <v>7200</v>
      </c>
      <c r="C26">
        <v>10200</v>
      </c>
      <c r="D26">
        <v>2400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FA8DB-A932-4265-912B-088BBDA9780D}">
  <dimension ref="A1:H37"/>
  <sheetViews>
    <sheetView workbookViewId="0">
      <selection activeCell="P28" sqref="P28"/>
    </sheetView>
  </sheetViews>
  <sheetFormatPr baseColWidth="10" defaultRowHeight="15" x14ac:dyDescent="0.25"/>
  <cols>
    <col min="1" max="1" width="16.42578125" customWidth="1"/>
    <col min="4" max="4" width="15" customWidth="1"/>
    <col min="6" max="6" width="16.28515625" customWidth="1"/>
  </cols>
  <sheetData>
    <row r="1" spans="1:8" x14ac:dyDescent="0.25">
      <c r="A1" t="s">
        <v>0</v>
      </c>
      <c r="B1" t="s">
        <v>20</v>
      </c>
      <c r="C1" t="s">
        <v>24</v>
      </c>
      <c r="D1" t="s">
        <v>5</v>
      </c>
      <c r="E1" t="s">
        <v>21</v>
      </c>
      <c r="F1" t="s">
        <v>23</v>
      </c>
      <c r="G1" t="s">
        <v>19</v>
      </c>
      <c r="H1" t="s">
        <v>22</v>
      </c>
    </row>
    <row r="2" spans="1:8" x14ac:dyDescent="0.25">
      <c r="A2">
        <v>1000</v>
      </c>
      <c r="B2">
        <v>1</v>
      </c>
      <c r="C2">
        <f>B2/A2</f>
        <v>1E-3</v>
      </c>
      <c r="D2">
        <f>$C$37*A2</f>
        <v>1.5246176629289772</v>
      </c>
      <c r="E2">
        <v>192</v>
      </c>
      <c r="F2">
        <f>E2/(A2*LOG10(A2))</f>
        <v>6.4000000000000001E-2</v>
      </c>
      <c r="G2">
        <v>1950</v>
      </c>
      <c r="H2">
        <f>G2/(A2*A2)</f>
        <v>1.9499999999999999E-3</v>
      </c>
    </row>
    <row r="3" spans="1:8" x14ac:dyDescent="0.25">
      <c r="A3">
        <v>2000</v>
      </c>
      <c r="B3">
        <v>4</v>
      </c>
      <c r="C3">
        <f t="shared" ref="C3:C36" si="0">B3/A3</f>
        <v>2E-3</v>
      </c>
      <c r="D3">
        <f t="shared" ref="D3:D36" si="1">$C$37*A3</f>
        <v>3.0492353258579543</v>
      </c>
      <c r="E3">
        <v>333</v>
      </c>
      <c r="F3">
        <f>E3/(A3*LOG10(A3))</f>
        <v>5.0438802500644829E-2</v>
      </c>
      <c r="G3">
        <v>7651</v>
      </c>
      <c r="H3">
        <f>G3/(A3*A3)</f>
        <v>1.91275E-3</v>
      </c>
    </row>
    <row r="4" spans="1:8" x14ac:dyDescent="0.25">
      <c r="A4">
        <v>3000</v>
      </c>
      <c r="B4">
        <v>4</v>
      </c>
      <c r="C4">
        <f t="shared" si="0"/>
        <v>1.3333333333333333E-3</v>
      </c>
      <c r="D4">
        <f t="shared" si="1"/>
        <v>4.573852988786931</v>
      </c>
      <c r="E4">
        <v>542</v>
      </c>
      <c r="F4">
        <f>E4/(A4*LOG10(A4))</f>
        <v>5.1958690373952066E-2</v>
      </c>
      <c r="G4">
        <v>16991</v>
      </c>
      <c r="H4">
        <f>G4/(A4*A4)</f>
        <v>1.8878888888888888E-3</v>
      </c>
    </row>
    <row r="5" spans="1:8" x14ac:dyDescent="0.25">
      <c r="A5">
        <v>4000</v>
      </c>
      <c r="B5">
        <v>6</v>
      </c>
      <c r="C5">
        <f t="shared" si="0"/>
        <v>1.5E-3</v>
      </c>
      <c r="D5">
        <f t="shared" si="1"/>
        <v>6.0984706517159086</v>
      </c>
      <c r="E5">
        <v>832</v>
      </c>
      <c r="F5">
        <f>E5/(A5*LOG10(A5))</f>
        <v>5.7744735096240625E-2</v>
      </c>
      <c r="G5">
        <v>29837</v>
      </c>
      <c r="H5">
        <f>G5/(A5*A5)</f>
        <v>1.8648124999999999E-3</v>
      </c>
    </row>
    <row r="6" spans="1:8" x14ac:dyDescent="0.25">
      <c r="A6">
        <v>5000</v>
      </c>
      <c r="B6">
        <v>7</v>
      </c>
      <c r="C6">
        <f t="shared" si="0"/>
        <v>1.4E-3</v>
      </c>
      <c r="D6">
        <f t="shared" si="1"/>
        <v>7.6230883146448853</v>
      </c>
      <c r="E6">
        <v>1182</v>
      </c>
      <c r="F6">
        <f>E6/(A6*LOG10(A6))</f>
        <v>6.3909682890882169E-2</v>
      </c>
      <c r="G6">
        <v>52295</v>
      </c>
      <c r="H6">
        <f>G6/(A6*A6)</f>
        <v>2.0918E-3</v>
      </c>
    </row>
    <row r="7" spans="1:8" x14ac:dyDescent="0.25">
      <c r="A7">
        <v>6000</v>
      </c>
      <c r="B7">
        <v>9</v>
      </c>
      <c r="C7">
        <f t="shared" si="0"/>
        <v>1.5E-3</v>
      </c>
      <c r="D7">
        <f t="shared" si="1"/>
        <v>9.1477059775738621</v>
      </c>
      <c r="E7">
        <v>952</v>
      </c>
      <c r="F7">
        <f>E7/(A7*LOG10(A7))</f>
        <v>4.199584827382314E-2</v>
      </c>
      <c r="G7">
        <v>67811</v>
      </c>
      <c r="H7">
        <f>G7/(A7*A7)</f>
        <v>1.8836388888888889E-3</v>
      </c>
    </row>
    <row r="8" spans="1:8" x14ac:dyDescent="0.25">
      <c r="A8">
        <v>7000</v>
      </c>
      <c r="B8">
        <v>10</v>
      </c>
      <c r="C8">
        <f t="shared" si="0"/>
        <v>1.4285714285714286E-3</v>
      </c>
      <c r="D8">
        <f t="shared" si="1"/>
        <v>10.672323640502841</v>
      </c>
      <c r="E8">
        <v>1156</v>
      </c>
      <c r="F8">
        <f>E8/(A8*LOG10(A8))</f>
        <v>4.294893275133365E-2</v>
      </c>
      <c r="G8">
        <v>94637</v>
      </c>
      <c r="H8">
        <f>G8/(A8*A8)</f>
        <v>1.9313673469387755E-3</v>
      </c>
    </row>
    <row r="9" spans="1:8" x14ac:dyDescent="0.25">
      <c r="A9">
        <v>8000</v>
      </c>
      <c r="B9">
        <v>12</v>
      </c>
      <c r="C9">
        <f t="shared" si="0"/>
        <v>1.5E-3</v>
      </c>
      <c r="D9">
        <f t="shared" si="1"/>
        <v>12.196941303431817</v>
      </c>
      <c r="E9">
        <v>1250</v>
      </c>
      <c r="F9">
        <f>E9/(A9*LOG10(A9))</f>
        <v>4.0032384731262541E-2</v>
      </c>
      <c r="G9">
        <v>121314</v>
      </c>
      <c r="H9">
        <f>G9/(A9*A9)</f>
        <v>1.8955312500000001E-3</v>
      </c>
    </row>
    <row r="10" spans="1:8" x14ac:dyDescent="0.25">
      <c r="A10">
        <v>9000</v>
      </c>
      <c r="B10">
        <v>13</v>
      </c>
      <c r="C10">
        <f t="shared" si="0"/>
        <v>1.4444444444444444E-3</v>
      </c>
      <c r="D10">
        <f t="shared" si="1"/>
        <v>13.721558966360794</v>
      </c>
      <c r="E10">
        <v>1452</v>
      </c>
      <c r="F10">
        <f>E10/(A10*LOG10(A10))</f>
        <v>4.0800060428314223E-2</v>
      </c>
      <c r="G10">
        <v>152349</v>
      </c>
      <c r="H10">
        <f>G10/(A10*A10)</f>
        <v>1.8808518518518519E-3</v>
      </c>
    </row>
    <row r="11" spans="1:8" x14ac:dyDescent="0.25">
      <c r="A11">
        <v>10000</v>
      </c>
      <c r="B11">
        <v>15</v>
      </c>
      <c r="C11">
        <f t="shared" si="0"/>
        <v>1.5E-3</v>
      </c>
      <c r="D11">
        <f t="shared" si="1"/>
        <v>15.246176629289771</v>
      </c>
      <c r="E11">
        <v>1601</v>
      </c>
      <c r="F11">
        <f>E11/(A11*LOG10(A11))</f>
        <v>4.0024999999999998E-2</v>
      </c>
      <c r="G11">
        <v>189622</v>
      </c>
      <c r="H11">
        <f>G11/(A11*A11)</f>
        <v>1.8962199999999999E-3</v>
      </c>
    </row>
    <row r="12" spans="1:8" x14ac:dyDescent="0.25">
      <c r="A12">
        <v>11000</v>
      </c>
      <c r="B12">
        <v>16</v>
      </c>
      <c r="C12">
        <f t="shared" si="0"/>
        <v>1.4545454545454545E-3</v>
      </c>
      <c r="D12">
        <f t="shared" si="1"/>
        <v>16.770794292218749</v>
      </c>
      <c r="E12">
        <v>1968</v>
      </c>
      <c r="F12">
        <f>E12/(A12*LOG10(A12))</f>
        <v>4.4269167796072859E-2</v>
      </c>
      <c r="G12">
        <v>229552</v>
      </c>
      <c r="H12">
        <f>G12/(A12*A12)</f>
        <v>1.8971239669421487E-3</v>
      </c>
    </row>
    <row r="13" spans="1:8" x14ac:dyDescent="0.25">
      <c r="A13">
        <v>12000</v>
      </c>
      <c r="B13">
        <v>18</v>
      </c>
      <c r="C13">
        <f t="shared" si="0"/>
        <v>1.5E-3</v>
      </c>
      <c r="D13">
        <f t="shared" si="1"/>
        <v>18.295411955147724</v>
      </c>
      <c r="E13">
        <v>1944</v>
      </c>
      <c r="F13">
        <f>E13/(A13*LOG10(A13))</f>
        <v>3.9713851929713599E-2</v>
      </c>
      <c r="G13">
        <v>290882</v>
      </c>
      <c r="H13">
        <f>G13/(A13*A13)</f>
        <v>2.0200138888888889E-3</v>
      </c>
    </row>
    <row r="14" spans="1:8" x14ac:dyDescent="0.25">
      <c r="A14">
        <v>13000</v>
      </c>
      <c r="B14">
        <v>19</v>
      </c>
      <c r="C14">
        <f t="shared" si="0"/>
        <v>1.4615384615384616E-3</v>
      </c>
      <c r="D14">
        <f t="shared" si="1"/>
        <v>19.820029618076703</v>
      </c>
      <c r="E14">
        <v>2154</v>
      </c>
      <c r="F14">
        <f>E14/(A14*LOG10(A14))</f>
        <v>4.0275787365763802E-2</v>
      </c>
      <c r="G14">
        <v>320745</v>
      </c>
      <c r="H14">
        <f>G14/(A14*A14)</f>
        <v>1.8978994082840238E-3</v>
      </c>
    </row>
    <row r="15" spans="1:8" x14ac:dyDescent="0.25">
      <c r="A15">
        <v>14000</v>
      </c>
      <c r="B15">
        <v>21</v>
      </c>
      <c r="C15">
        <f t="shared" si="0"/>
        <v>1.5E-3</v>
      </c>
      <c r="D15">
        <f t="shared" si="1"/>
        <v>21.344647281005681</v>
      </c>
      <c r="E15">
        <v>2344</v>
      </c>
      <c r="F15">
        <f>E15/(A15*LOG10(A15))</f>
        <v>4.0381910541067718E-2</v>
      </c>
      <c r="G15">
        <v>372569</v>
      </c>
      <c r="H15">
        <f>G15/(A15*A15)</f>
        <v>1.9008622448979592E-3</v>
      </c>
    </row>
    <row r="16" spans="1:8" x14ac:dyDescent="0.25">
      <c r="A16">
        <v>15000</v>
      </c>
      <c r="B16">
        <v>25</v>
      </c>
      <c r="C16">
        <f t="shared" si="0"/>
        <v>1.6666666666666668E-3</v>
      </c>
      <c r="D16">
        <f t="shared" si="1"/>
        <v>22.869264943934656</v>
      </c>
      <c r="E16">
        <v>2859</v>
      </c>
      <c r="F16">
        <f>E16/(A16*LOG10(A16))</f>
        <v>4.5640765054329638E-2</v>
      </c>
      <c r="G16">
        <v>426957</v>
      </c>
      <c r="H16">
        <f>G16/(A16*A16)</f>
        <v>1.8975866666666667E-3</v>
      </c>
    </row>
    <row r="17" spans="1:8" x14ac:dyDescent="0.25">
      <c r="A17">
        <v>16000</v>
      </c>
      <c r="B17">
        <v>24</v>
      </c>
      <c r="C17">
        <f t="shared" si="0"/>
        <v>1.5E-3</v>
      </c>
      <c r="D17">
        <f t="shared" si="1"/>
        <v>24.393882606863635</v>
      </c>
      <c r="E17">
        <v>2564</v>
      </c>
      <c r="F17">
        <f>E17/(A17*LOG10(A17))</f>
        <v>3.8117370736589475E-2</v>
      </c>
      <c r="G17">
        <v>484853</v>
      </c>
      <c r="H17">
        <f>G17/(A17*A17)</f>
        <v>1.8939570312499999E-3</v>
      </c>
    </row>
    <row r="18" spans="1:8" x14ac:dyDescent="0.25">
      <c r="A18">
        <v>17000</v>
      </c>
      <c r="B18">
        <v>25</v>
      </c>
      <c r="C18">
        <f t="shared" si="0"/>
        <v>1.4705882352941176E-3</v>
      </c>
      <c r="D18">
        <f t="shared" si="1"/>
        <v>25.918500269792613</v>
      </c>
      <c r="E18">
        <v>2803</v>
      </c>
      <c r="F18">
        <f>E18/(A18*LOG10(A18))</f>
        <v>3.8975143301684882E-2</v>
      </c>
      <c r="G18">
        <v>544468</v>
      </c>
      <c r="H18">
        <f>G18/(A18*A18)</f>
        <v>1.8839723183391003E-3</v>
      </c>
    </row>
    <row r="19" spans="1:8" x14ac:dyDescent="0.25">
      <c r="A19">
        <v>18000</v>
      </c>
      <c r="B19">
        <v>27</v>
      </c>
      <c r="C19">
        <f t="shared" si="0"/>
        <v>1.5E-3</v>
      </c>
      <c r="D19">
        <f t="shared" si="1"/>
        <v>27.443117932721588</v>
      </c>
      <c r="E19">
        <v>2953</v>
      </c>
      <c r="F19">
        <f>E19/(A19*LOG10(A19))</f>
        <v>3.8553478151823493E-2</v>
      </c>
      <c r="G19">
        <v>605923</v>
      </c>
      <c r="H19">
        <f>G19/(A19*A19)</f>
        <v>1.8701327160493828E-3</v>
      </c>
    </row>
    <row r="20" spans="1:8" x14ac:dyDescent="0.25">
      <c r="A20">
        <v>19000</v>
      </c>
      <c r="B20">
        <v>28</v>
      </c>
      <c r="C20">
        <f t="shared" si="0"/>
        <v>1.4736842105263158E-3</v>
      </c>
      <c r="D20">
        <f t="shared" si="1"/>
        <v>28.967735595650566</v>
      </c>
      <c r="E20">
        <v>3192</v>
      </c>
      <c r="F20">
        <f>E20/(A20*LOG10(A20))</f>
        <v>3.9263770636988382E-2</v>
      </c>
      <c r="G20">
        <v>675215</v>
      </c>
      <c r="H20">
        <f>G20/(A20*A20)</f>
        <v>1.8704016620498616E-3</v>
      </c>
    </row>
    <row r="21" spans="1:8" x14ac:dyDescent="0.25">
      <c r="A21">
        <v>20000</v>
      </c>
      <c r="B21">
        <v>35</v>
      </c>
      <c r="C21">
        <f t="shared" si="0"/>
        <v>1.75E-3</v>
      </c>
      <c r="D21">
        <f t="shared" si="1"/>
        <v>30.492353258579541</v>
      </c>
      <c r="E21">
        <v>3586</v>
      </c>
      <c r="F21">
        <f>E21/(A21*LOG10(A21))</f>
        <v>4.1687688804951044E-2</v>
      </c>
      <c r="G21">
        <v>754878</v>
      </c>
      <c r="H21">
        <f>G21/(A21*A21)</f>
        <v>1.8871949999999999E-3</v>
      </c>
    </row>
    <row r="22" spans="1:8" x14ac:dyDescent="0.25">
      <c r="A22">
        <v>21000</v>
      </c>
      <c r="B22">
        <v>35</v>
      </c>
      <c r="C22">
        <f t="shared" si="0"/>
        <v>1.6666666666666668E-3</v>
      </c>
      <c r="D22">
        <f t="shared" si="1"/>
        <v>32.016970921508523</v>
      </c>
      <c r="E22">
        <v>3402</v>
      </c>
      <c r="F22">
        <f>E22/(A22*LOG10(A22))</f>
        <v>3.7480745180462412E-2</v>
      </c>
      <c r="G22">
        <v>832825</v>
      </c>
      <c r="H22">
        <f>G22/(A22*A22)</f>
        <v>1.8884920634920635E-3</v>
      </c>
    </row>
    <row r="23" spans="1:8" x14ac:dyDescent="0.25">
      <c r="A23">
        <v>22000</v>
      </c>
      <c r="B23">
        <v>33</v>
      </c>
      <c r="C23">
        <f t="shared" si="0"/>
        <v>1.5E-3</v>
      </c>
      <c r="D23">
        <f t="shared" si="1"/>
        <v>33.541588584437498</v>
      </c>
      <c r="E23">
        <v>3613</v>
      </c>
      <c r="F23">
        <f>E23/(A23*LOG10(A23))</f>
        <v>3.7819273893479548E-2</v>
      </c>
      <c r="G23">
        <v>924121</v>
      </c>
      <c r="H23">
        <f>G23/(A23*A23)</f>
        <v>1.9093409090909091E-3</v>
      </c>
    </row>
    <row r="24" spans="1:8" x14ac:dyDescent="0.25">
      <c r="A24">
        <v>23000</v>
      </c>
      <c r="B24">
        <v>35</v>
      </c>
      <c r="C24">
        <f t="shared" si="0"/>
        <v>1.5217391304347826E-3</v>
      </c>
      <c r="D24">
        <f t="shared" si="1"/>
        <v>35.066206247366473</v>
      </c>
      <c r="E24">
        <v>3780</v>
      </c>
      <c r="F24">
        <f>E24/(A24*LOG10(A24))</f>
        <v>3.7679523405800511E-2</v>
      </c>
      <c r="G24">
        <v>1010264</v>
      </c>
      <c r="H24">
        <f>G24/(A24*A24)</f>
        <v>1.9097618147448014E-3</v>
      </c>
    </row>
    <row r="25" spans="1:8" x14ac:dyDescent="0.25">
      <c r="A25">
        <v>24000</v>
      </c>
      <c r="B25">
        <v>46</v>
      </c>
      <c r="C25">
        <f t="shared" si="0"/>
        <v>1.9166666666666666E-3</v>
      </c>
      <c r="D25">
        <f t="shared" si="1"/>
        <v>36.590823910295448</v>
      </c>
      <c r="E25">
        <v>4178</v>
      </c>
      <c r="F25">
        <f>E25/(A25*LOG10(A25))</f>
        <v>3.9743136512591738E-2</v>
      </c>
    </row>
    <row r="26" spans="1:8" x14ac:dyDescent="0.25">
      <c r="A26">
        <v>25000</v>
      </c>
      <c r="B26">
        <v>37</v>
      </c>
      <c r="C26">
        <f t="shared" si="0"/>
        <v>1.48E-3</v>
      </c>
      <c r="D26">
        <f t="shared" si="1"/>
        <v>38.11544157322443</v>
      </c>
      <c r="E26">
        <v>4090</v>
      </c>
      <c r="F26">
        <f>E26/(A26*LOG10(A26))</f>
        <v>3.7199234113563816E-2</v>
      </c>
    </row>
    <row r="27" spans="1:8" x14ac:dyDescent="0.25">
      <c r="A27">
        <v>26000</v>
      </c>
      <c r="B27">
        <v>39</v>
      </c>
      <c r="C27">
        <f t="shared" si="0"/>
        <v>1.5E-3</v>
      </c>
      <c r="D27">
        <f t="shared" si="1"/>
        <v>39.640059236153405</v>
      </c>
      <c r="E27">
        <v>4274</v>
      </c>
      <c r="F27">
        <f>E27/(A27*LOG10(A27))</f>
        <v>3.7233433234691846E-2</v>
      </c>
    </row>
    <row r="28" spans="1:8" x14ac:dyDescent="0.25">
      <c r="A28">
        <v>27000</v>
      </c>
      <c r="B28">
        <v>40</v>
      </c>
      <c r="C28">
        <f t="shared" si="0"/>
        <v>1.4814814814814814E-3</v>
      </c>
      <c r="D28">
        <f t="shared" si="1"/>
        <v>41.16467689908238</v>
      </c>
      <c r="E28">
        <v>4341</v>
      </c>
      <c r="F28">
        <f>E28/(A28*LOG10(A28))</f>
        <v>3.6281782840342204E-2</v>
      </c>
    </row>
    <row r="29" spans="1:8" x14ac:dyDescent="0.25">
      <c r="A29">
        <v>28000</v>
      </c>
      <c r="B29">
        <v>42</v>
      </c>
      <c r="C29">
        <f t="shared" si="0"/>
        <v>1.5E-3</v>
      </c>
      <c r="D29">
        <f t="shared" si="1"/>
        <v>42.689294562011362</v>
      </c>
      <c r="E29">
        <v>5138</v>
      </c>
      <c r="F29">
        <f>E29/(A29*LOG10(A29))</f>
        <v>4.1262307007474824E-2</v>
      </c>
    </row>
    <row r="30" spans="1:8" x14ac:dyDescent="0.25">
      <c r="A30">
        <v>29000</v>
      </c>
      <c r="B30">
        <v>49</v>
      </c>
      <c r="C30">
        <f t="shared" si="0"/>
        <v>1.6896551724137931E-3</v>
      </c>
      <c r="D30">
        <f t="shared" si="1"/>
        <v>44.213912224940337</v>
      </c>
      <c r="E30">
        <v>4834</v>
      </c>
      <c r="F30">
        <f>E30/(A30*LOG10(A30))</f>
        <v>3.7354277957926826E-2</v>
      </c>
    </row>
    <row r="31" spans="1:8" x14ac:dyDescent="0.25">
      <c r="A31">
        <v>30000</v>
      </c>
      <c r="B31">
        <v>45</v>
      </c>
      <c r="C31">
        <f t="shared" si="0"/>
        <v>1.5E-3</v>
      </c>
      <c r="D31">
        <f t="shared" si="1"/>
        <v>45.738529887869312</v>
      </c>
      <c r="E31">
        <v>5061</v>
      </c>
      <c r="F31">
        <f>E31/(A31*LOG10(A31))</f>
        <v>3.7680462601311263E-2</v>
      </c>
    </row>
    <row r="32" spans="1:8" x14ac:dyDescent="0.25">
      <c r="A32">
        <v>31000</v>
      </c>
      <c r="B32">
        <v>47</v>
      </c>
      <c r="C32">
        <f t="shared" si="0"/>
        <v>1.5161290322580644E-3</v>
      </c>
      <c r="D32">
        <f t="shared" si="1"/>
        <v>47.263147550798294</v>
      </c>
      <c r="E32">
        <v>5958</v>
      </c>
      <c r="F32">
        <f>E32/(A32*LOG10(A32))</f>
        <v>4.2791821609677858E-2</v>
      </c>
    </row>
    <row r="33" spans="1:6" x14ac:dyDescent="0.25">
      <c r="A33">
        <v>32000</v>
      </c>
      <c r="B33">
        <v>48</v>
      </c>
      <c r="C33">
        <f t="shared" si="0"/>
        <v>1.5E-3</v>
      </c>
      <c r="D33">
        <f t="shared" si="1"/>
        <v>48.787765213727269</v>
      </c>
      <c r="E33">
        <v>5154</v>
      </c>
      <c r="F33">
        <f>E33/(A33*LOG10(A33))</f>
        <v>3.5750752089293292E-2</v>
      </c>
    </row>
    <row r="34" spans="1:6" x14ac:dyDescent="0.25">
      <c r="A34">
        <v>33000</v>
      </c>
      <c r="B34">
        <v>50</v>
      </c>
      <c r="C34">
        <f t="shared" si="0"/>
        <v>1.5151515151515152E-3</v>
      </c>
      <c r="D34">
        <f t="shared" si="1"/>
        <v>50.312382876656244</v>
      </c>
      <c r="E34">
        <v>5389</v>
      </c>
      <c r="F34">
        <f>E34/(A34*LOG10(A34))</f>
        <v>3.6140871197012078E-2</v>
      </c>
    </row>
    <row r="35" spans="1:6" x14ac:dyDescent="0.25">
      <c r="A35">
        <v>34000</v>
      </c>
      <c r="B35">
        <v>57</v>
      </c>
      <c r="C35">
        <f t="shared" si="0"/>
        <v>1.676470588235294E-3</v>
      </c>
      <c r="D35">
        <f t="shared" si="1"/>
        <v>51.837000539585226</v>
      </c>
      <c r="E35">
        <v>6160</v>
      </c>
      <c r="F35">
        <f>E35/(A35*LOG10(A35))</f>
        <v>3.9981752956381643E-2</v>
      </c>
    </row>
    <row r="36" spans="1:6" x14ac:dyDescent="0.25">
      <c r="A36">
        <v>35000</v>
      </c>
      <c r="B36">
        <v>53</v>
      </c>
      <c r="C36">
        <f t="shared" si="0"/>
        <v>1.5142857142857143E-3</v>
      </c>
      <c r="D36">
        <f t="shared" si="1"/>
        <v>53.361618202514201</v>
      </c>
      <c r="E36">
        <v>5810</v>
      </c>
      <c r="F36">
        <f>E36/(A36*LOG10(A36))</f>
        <v>3.6531143103455704E-2</v>
      </c>
    </row>
    <row r="37" spans="1:6" x14ac:dyDescent="0.25">
      <c r="C37">
        <f>AVERAGE(C2:C36)</f>
        <v>1.5246176629289772E-3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bubble</vt:lpstr>
      <vt:lpstr>merge</vt:lpstr>
      <vt:lpstr>quick</vt:lpstr>
      <vt:lpstr>comparacion</vt:lpstr>
      <vt:lpstr>pequeños</vt:lpstr>
      <vt:lpstr>ordenados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x</dc:creator>
  <dc:description/>
  <cp:lastModifiedBy>JUAN x</cp:lastModifiedBy>
  <cp:revision>2</cp:revision>
  <dcterms:created xsi:type="dcterms:W3CDTF">2025-03-16T18:12:27Z</dcterms:created>
  <dcterms:modified xsi:type="dcterms:W3CDTF">2025-03-19T23:12:37Z</dcterms:modified>
  <dc:language>es-ES</dc:language>
</cp:coreProperties>
</file>