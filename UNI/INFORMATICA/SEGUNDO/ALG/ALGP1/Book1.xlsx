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DOCUMENTOS\INFOMATES\UNI\INFORMATICA\SEGUNDO\ALG\ALGP1\"/>
    </mc:Choice>
  </mc:AlternateContent>
  <xr:revisionPtr revIDLastSave="0" documentId="13_ncr:1_{059535C2-E4FD-4287-A57B-7298E801859D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bubble" sheetId="1" r:id="rId1"/>
    <sheet name="Hoja1" sheetId="2" r:id="rId2"/>
    <sheet name="merge" sheetId="3" r:id="rId3"/>
    <sheet name="quick" sheetId="4" r:id="rId4"/>
    <sheet name="quick2" sheetId="5" r:id="rId5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5" l="1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7" i="5" s="1"/>
  <c r="D20" i="5" s="1"/>
  <c r="I20" i="5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" i="3"/>
  <c r="G7" i="3" s="1"/>
  <c r="D14" i="3" s="1"/>
  <c r="I14" i="3" s="1"/>
  <c r="D3" i="4"/>
  <c r="D4" i="4"/>
  <c r="D5" i="4"/>
  <c r="H7" i="4" s="1"/>
  <c r="E2" i="4" s="1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2" i="4"/>
  <c r="J3" i="1"/>
  <c r="J4" i="1"/>
  <c r="J5" i="1"/>
  <c r="J6" i="1"/>
  <c r="J7" i="1"/>
  <c r="J8" i="1"/>
  <c r="J9" i="1"/>
  <c r="J10" i="1"/>
  <c r="J11" i="1"/>
  <c r="J12" i="1"/>
  <c r="J13" i="1"/>
  <c r="J2" i="1"/>
  <c r="C7" i="2"/>
  <c r="C6" i="2"/>
  <c r="C5" i="2"/>
  <c r="C4" i="2"/>
  <c r="C3" i="2"/>
  <c r="C2" i="2"/>
  <c r="C1" i="2"/>
  <c r="C13" i="1"/>
  <c r="C12" i="1"/>
  <c r="C11" i="1"/>
  <c r="C10" i="1"/>
  <c r="H9" i="1"/>
  <c r="E7" i="1" s="1"/>
  <c r="C9" i="1"/>
  <c r="C8" i="1"/>
  <c r="H7" i="1"/>
  <c r="D7" i="2" s="1"/>
  <c r="C7" i="1"/>
  <c r="C6" i="1"/>
  <c r="C5" i="1"/>
  <c r="C4" i="1"/>
  <c r="C3" i="1"/>
  <c r="C2" i="1"/>
  <c r="D8" i="5" l="1"/>
  <c r="I8" i="5" s="1"/>
  <c r="D2" i="5"/>
  <c r="I2" i="5" s="1"/>
  <c r="D15" i="5"/>
  <c r="I15" i="5" s="1"/>
  <c r="D9" i="5"/>
  <c r="I9" i="5" s="1"/>
  <c r="D3" i="5"/>
  <c r="I3" i="5" s="1"/>
  <c r="D16" i="5"/>
  <c r="I16" i="5" s="1"/>
  <c r="D10" i="5"/>
  <c r="I10" i="5" s="1"/>
  <c r="D4" i="5"/>
  <c r="I4" i="5" s="1"/>
  <c r="D17" i="5"/>
  <c r="I17" i="5" s="1"/>
  <c r="D14" i="5"/>
  <c r="I14" i="5" s="1"/>
  <c r="D11" i="5"/>
  <c r="I11" i="5" s="1"/>
  <c r="D5" i="5"/>
  <c r="I5" i="5" s="1"/>
  <c r="D18" i="5"/>
  <c r="I18" i="5" s="1"/>
  <c r="D12" i="5"/>
  <c r="I12" i="5" s="1"/>
  <c r="D6" i="5"/>
  <c r="I6" i="5" s="1"/>
  <c r="D19" i="5"/>
  <c r="I19" i="5" s="1"/>
  <c r="D13" i="5"/>
  <c r="I13" i="5" s="1"/>
  <c r="D7" i="5"/>
  <c r="I7" i="5" s="1"/>
  <c r="E3" i="4"/>
  <c r="J3" i="4" s="1"/>
  <c r="E24" i="4"/>
  <c r="J24" i="4" s="1"/>
  <c r="D12" i="3"/>
  <c r="I12" i="3" s="1"/>
  <c r="D3" i="1"/>
  <c r="D8" i="3"/>
  <c r="I8" i="3" s="1"/>
  <c r="D2" i="3"/>
  <c r="I2" i="3" s="1"/>
  <c r="E29" i="4"/>
  <c r="J29" i="4" s="1"/>
  <c r="E16" i="4"/>
  <c r="J16" i="4" s="1"/>
  <c r="E36" i="4"/>
  <c r="J36" i="4" s="1"/>
  <c r="E8" i="1"/>
  <c r="D13" i="1"/>
  <c r="D9" i="3"/>
  <c r="I9" i="3" s="1"/>
  <c r="E13" i="1"/>
  <c r="D3" i="3"/>
  <c r="I3" i="3" s="1"/>
  <c r="E37" i="4"/>
  <c r="J37" i="4" s="1"/>
  <c r="E57" i="4"/>
  <c r="J57" i="4" s="1"/>
  <c r="E12" i="1"/>
  <c r="D15" i="3"/>
  <c r="I15" i="3" s="1"/>
  <c r="E3" i="1"/>
  <c r="D8" i="1"/>
  <c r="D16" i="3"/>
  <c r="I16" i="3" s="1"/>
  <c r="D9" i="1"/>
  <c r="D10" i="3"/>
  <c r="I10" i="3" s="1"/>
  <c r="E9" i="1"/>
  <c r="D1" i="2"/>
  <c r="D4" i="3"/>
  <c r="I4" i="3" s="1"/>
  <c r="D17" i="3"/>
  <c r="I17" i="3" s="1"/>
  <c r="E5" i="4"/>
  <c r="J5" i="4" s="1"/>
  <c r="E18" i="4"/>
  <c r="J18" i="4" s="1"/>
  <c r="E38" i="4"/>
  <c r="J38" i="4" s="1"/>
  <c r="E58" i="4"/>
  <c r="J58" i="4" s="1"/>
  <c r="D5" i="1"/>
  <c r="D2" i="2"/>
  <c r="D11" i="3"/>
  <c r="I11" i="3" s="1"/>
  <c r="E25" i="4"/>
  <c r="J25" i="4" s="1"/>
  <c r="E45" i="4"/>
  <c r="J45" i="4" s="1"/>
  <c r="E22" i="4"/>
  <c r="J22" i="4" s="1"/>
  <c r="D4" i="1"/>
  <c r="E4" i="1"/>
  <c r="E5" i="1"/>
  <c r="D5" i="3"/>
  <c r="I5" i="3" s="1"/>
  <c r="D18" i="3"/>
  <c r="I18" i="3" s="1"/>
  <c r="E52" i="4"/>
  <c r="J52" i="4" s="1"/>
  <c r="D10" i="1"/>
  <c r="D3" i="2"/>
  <c r="E6" i="4"/>
  <c r="J6" i="4" s="1"/>
  <c r="E19" i="4"/>
  <c r="J19" i="4" s="1"/>
  <c r="E39" i="4"/>
  <c r="J39" i="4" s="1"/>
  <c r="E59" i="4"/>
  <c r="J59" i="4" s="1"/>
  <c r="E27" i="4"/>
  <c r="J27" i="4" s="1"/>
  <c r="E47" i="4"/>
  <c r="J47" i="4" s="1"/>
  <c r="E10" i="1"/>
  <c r="E26" i="4"/>
  <c r="J26" i="4" s="1"/>
  <c r="D6" i="3"/>
  <c r="I6" i="3" s="1"/>
  <c r="D19" i="3"/>
  <c r="I19" i="3" s="1"/>
  <c r="D6" i="1"/>
  <c r="D4" i="2"/>
  <c r="E6" i="1"/>
  <c r="E20" i="4"/>
  <c r="J20" i="4" s="1"/>
  <c r="E40" i="4"/>
  <c r="J40" i="4" s="1"/>
  <c r="D11" i="1"/>
  <c r="D5" i="2"/>
  <c r="D13" i="3"/>
  <c r="I13" i="3" s="1"/>
  <c r="E11" i="1"/>
  <c r="D7" i="3"/>
  <c r="I7" i="3" s="1"/>
  <c r="D20" i="3"/>
  <c r="I20" i="3" s="1"/>
  <c r="E14" i="4"/>
  <c r="J14" i="4" s="1"/>
  <c r="D2" i="1"/>
  <c r="D7" i="1"/>
  <c r="D6" i="2"/>
  <c r="E2" i="1"/>
  <c r="E8" i="4"/>
  <c r="J8" i="4" s="1"/>
  <c r="E28" i="4"/>
  <c r="J28" i="4" s="1"/>
  <c r="E48" i="4"/>
  <c r="J48" i="4" s="1"/>
  <c r="D12" i="1"/>
  <c r="E55" i="4"/>
  <c r="J55" i="4" s="1"/>
  <c r="E10" i="4" l="1"/>
  <c r="J10" i="4" s="1"/>
  <c r="E9" i="4"/>
  <c r="J9" i="4" s="1"/>
  <c r="E56" i="4"/>
  <c r="J56" i="4" s="1"/>
  <c r="E49" i="4"/>
  <c r="J49" i="4" s="1"/>
  <c r="E35" i="4"/>
  <c r="J35" i="4" s="1"/>
  <c r="E7" i="4"/>
  <c r="J7" i="4" s="1"/>
  <c r="E15" i="4"/>
  <c r="J15" i="4" s="1"/>
  <c r="J2" i="4"/>
  <c r="E42" i="4"/>
  <c r="J42" i="4" s="1"/>
  <c r="E13" i="4"/>
  <c r="J13" i="4" s="1"/>
  <c r="E32" i="4"/>
  <c r="J32" i="4" s="1"/>
  <c r="E51" i="4"/>
  <c r="J51" i="4" s="1"/>
  <c r="E17" i="4"/>
  <c r="J17" i="4" s="1"/>
  <c r="E61" i="4"/>
  <c r="J61" i="4" s="1"/>
  <c r="E12" i="4"/>
  <c r="J12" i="4" s="1"/>
  <c r="E31" i="4"/>
  <c r="J31" i="4" s="1"/>
  <c r="E4" i="4"/>
  <c r="J4" i="4" s="1"/>
  <c r="E41" i="4"/>
  <c r="J41" i="4" s="1"/>
  <c r="E11" i="4"/>
  <c r="J11" i="4" s="1"/>
  <c r="E50" i="4"/>
  <c r="J50" i="4" s="1"/>
  <c r="E21" i="4"/>
  <c r="J21" i="4" s="1"/>
  <c r="E60" i="4"/>
  <c r="J60" i="4" s="1"/>
  <c r="E53" i="4"/>
  <c r="J53" i="4" s="1"/>
  <c r="E33" i="4"/>
  <c r="J33" i="4" s="1"/>
  <c r="E23" i="4"/>
  <c r="J23" i="4" s="1"/>
  <c r="E54" i="4"/>
  <c r="J54" i="4" s="1"/>
  <c r="E30" i="4"/>
  <c r="J30" i="4" s="1"/>
  <c r="E44" i="4"/>
  <c r="J44" i="4" s="1"/>
  <c r="E34" i="4"/>
  <c r="J34" i="4" s="1"/>
  <c r="E46" i="4"/>
  <c r="J46" i="4" s="1"/>
  <c r="E43" i="4"/>
  <c r="J43" i="4" s="1"/>
</calcChain>
</file>

<file path=xl/sharedStrings.xml><?xml version="1.0" encoding="utf-8"?>
<sst xmlns="http://schemas.openxmlformats.org/spreadsheetml/2006/main" count="23" uniqueCount="10">
  <si>
    <t>TAMAÑO</t>
  </si>
  <si>
    <t>TIEMPO (us)</t>
  </si>
  <si>
    <t>TIEMPO/f(n)</t>
  </si>
  <si>
    <t>TIEMPO TEORICO (Kpromedio)</t>
  </si>
  <si>
    <t>TIEMPO TEORICO (K max)</t>
  </si>
  <si>
    <t>K promedio</t>
  </si>
  <si>
    <t>K elegida</t>
  </si>
  <si>
    <t>TIEMPO TEORICO</t>
  </si>
  <si>
    <t>k = TIEMPO/f(n)</t>
  </si>
  <si>
    <t>f(n) = Ai * LOG10(Ai)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</si>
</sst>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bubbleSort</a:t>
            </a:r>
          </a:p>
        </c:rich>
      </c:tx>
      <c:layout>
        <c:manualLayout>
          <c:xMode val="edge"/>
          <c:yMode val="edge"/>
          <c:x val="0.43462686567164199"/>
          <c:y val="3.2407846110110897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9497964721845305E-2"/>
          <c:y val="0.12792570832938499"/>
          <c:w val="0.75685210312076001"/>
          <c:h val="0.80214157111721796"/>
        </c:manualLayout>
      </c:layout>
      <c:scatterChart>
        <c:scatterStyle val="lineMarker"/>
        <c:varyColors val="0"/>
        <c:ser>
          <c:idx val="0"/>
          <c:order val="0"/>
          <c:tx>
            <c:v>REAL</c:v>
          </c:tx>
          <c:spPr>
            <a:ln w="19080" cap="rnd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bubble!$A$2:$A$13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</c:numCache>
            </c:numRef>
          </c:xVal>
          <c:yVal>
            <c:numRef>
              <c:f>bubble!$B$2:$B$13</c:f>
              <c:numCache>
                <c:formatCode>General</c:formatCode>
                <c:ptCount val="12"/>
                <c:pt idx="0">
                  <c:v>7829</c:v>
                </c:pt>
                <c:pt idx="1">
                  <c:v>32195</c:v>
                </c:pt>
                <c:pt idx="2">
                  <c:v>72938</c:v>
                </c:pt>
                <c:pt idx="3">
                  <c:v>131458</c:v>
                </c:pt>
                <c:pt idx="4">
                  <c:v>208664</c:v>
                </c:pt>
                <c:pt idx="5">
                  <c:v>297741</c:v>
                </c:pt>
                <c:pt idx="6">
                  <c:v>407043</c:v>
                </c:pt>
                <c:pt idx="7">
                  <c:v>535867</c:v>
                </c:pt>
                <c:pt idx="8">
                  <c:v>675606</c:v>
                </c:pt>
                <c:pt idx="9">
                  <c:v>837917</c:v>
                </c:pt>
                <c:pt idx="10">
                  <c:v>1015483</c:v>
                </c:pt>
                <c:pt idx="11">
                  <c:v>1206883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51-4C1D-93AC-3BA414012282}"/>
            </c:ext>
          </c:extLst>
        </c:ser>
        <c:ser>
          <c:idx val="1"/>
          <c:order val="1"/>
          <c:tx>
            <c:v>TEORICO</c:v>
          </c:tx>
          <c:spPr>
            <a:ln w="19080" cap="rnd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bubble!$A$2:$A$13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</c:numCache>
            </c:numRef>
          </c:xVal>
          <c:yVal>
            <c:numRef>
              <c:f>bubble!$E$2:$E$13</c:f>
              <c:numCache>
                <c:formatCode>General</c:formatCode>
                <c:ptCount val="12"/>
                <c:pt idx="0">
                  <c:v>8392.4214876033056</c:v>
                </c:pt>
                <c:pt idx="1">
                  <c:v>33569.685950413223</c:v>
                </c:pt>
                <c:pt idx="2">
                  <c:v>75531.793388429753</c:v>
                </c:pt>
                <c:pt idx="3">
                  <c:v>134278.74380165289</c:v>
                </c:pt>
                <c:pt idx="4">
                  <c:v>209810.53719008266</c:v>
                </c:pt>
                <c:pt idx="5">
                  <c:v>302127.17355371901</c:v>
                </c:pt>
                <c:pt idx="6">
                  <c:v>411228.65289256198</c:v>
                </c:pt>
                <c:pt idx="7">
                  <c:v>537114.97520661156</c:v>
                </c:pt>
                <c:pt idx="8">
                  <c:v>679786.1404958677</c:v>
                </c:pt>
                <c:pt idx="9">
                  <c:v>839242.14876033063</c:v>
                </c:pt>
                <c:pt idx="10">
                  <c:v>1015483</c:v>
                </c:pt>
                <c:pt idx="11">
                  <c:v>1208508.694214876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51-4C1D-93AC-3BA414012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83036"/>
        <c:axId val="76957715"/>
      </c:scatterChart>
      <c:valAx>
        <c:axId val="403830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76957715"/>
        <c:crosses val="autoZero"/>
        <c:crossBetween val="midCat"/>
      </c:valAx>
      <c:valAx>
        <c:axId val="769577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4038303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000000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quick!$A$2:$A$61</c:f>
              <c:numCache>
                <c:formatCode>General</c:formatCode>
                <c:ptCount val="60"/>
                <c:pt idx="0">
                  <c:v>50000</c:v>
                </c:pt>
                <c:pt idx="1">
                  <c:v>100000</c:v>
                </c:pt>
                <c:pt idx="2">
                  <c:v>150000</c:v>
                </c:pt>
                <c:pt idx="3">
                  <c:v>200000</c:v>
                </c:pt>
                <c:pt idx="4">
                  <c:v>250000</c:v>
                </c:pt>
                <c:pt idx="5">
                  <c:v>300000</c:v>
                </c:pt>
                <c:pt idx="6">
                  <c:v>350000</c:v>
                </c:pt>
                <c:pt idx="7">
                  <c:v>400000</c:v>
                </c:pt>
                <c:pt idx="8">
                  <c:v>450000</c:v>
                </c:pt>
                <c:pt idx="9">
                  <c:v>500000</c:v>
                </c:pt>
                <c:pt idx="10">
                  <c:v>550000</c:v>
                </c:pt>
                <c:pt idx="11">
                  <c:v>600000</c:v>
                </c:pt>
                <c:pt idx="12">
                  <c:v>650000</c:v>
                </c:pt>
                <c:pt idx="13">
                  <c:v>700000</c:v>
                </c:pt>
                <c:pt idx="14">
                  <c:v>750000</c:v>
                </c:pt>
                <c:pt idx="15">
                  <c:v>800000</c:v>
                </c:pt>
                <c:pt idx="16">
                  <c:v>850000</c:v>
                </c:pt>
                <c:pt idx="17">
                  <c:v>900000</c:v>
                </c:pt>
                <c:pt idx="18">
                  <c:v>950000</c:v>
                </c:pt>
                <c:pt idx="19">
                  <c:v>1000000</c:v>
                </c:pt>
                <c:pt idx="20">
                  <c:v>1050000</c:v>
                </c:pt>
                <c:pt idx="21">
                  <c:v>1100000</c:v>
                </c:pt>
                <c:pt idx="22">
                  <c:v>1150000</c:v>
                </c:pt>
                <c:pt idx="23">
                  <c:v>1200000</c:v>
                </c:pt>
                <c:pt idx="24">
                  <c:v>1250000</c:v>
                </c:pt>
                <c:pt idx="25">
                  <c:v>1300000</c:v>
                </c:pt>
                <c:pt idx="26">
                  <c:v>1350000</c:v>
                </c:pt>
                <c:pt idx="27">
                  <c:v>1400000</c:v>
                </c:pt>
                <c:pt idx="28">
                  <c:v>1450000</c:v>
                </c:pt>
                <c:pt idx="29">
                  <c:v>1500000</c:v>
                </c:pt>
                <c:pt idx="30">
                  <c:v>1550000</c:v>
                </c:pt>
                <c:pt idx="31">
                  <c:v>1600000</c:v>
                </c:pt>
                <c:pt idx="32">
                  <c:v>1650000</c:v>
                </c:pt>
                <c:pt idx="33">
                  <c:v>1700000</c:v>
                </c:pt>
                <c:pt idx="34">
                  <c:v>1750000</c:v>
                </c:pt>
                <c:pt idx="35">
                  <c:v>1800000</c:v>
                </c:pt>
                <c:pt idx="36">
                  <c:v>1850000</c:v>
                </c:pt>
                <c:pt idx="37">
                  <c:v>1900000</c:v>
                </c:pt>
                <c:pt idx="38">
                  <c:v>1950000</c:v>
                </c:pt>
                <c:pt idx="39">
                  <c:v>2000000</c:v>
                </c:pt>
                <c:pt idx="40">
                  <c:v>2050000</c:v>
                </c:pt>
                <c:pt idx="41">
                  <c:v>2100000</c:v>
                </c:pt>
                <c:pt idx="42">
                  <c:v>2150000</c:v>
                </c:pt>
                <c:pt idx="43">
                  <c:v>2200000</c:v>
                </c:pt>
                <c:pt idx="44">
                  <c:v>2250000</c:v>
                </c:pt>
                <c:pt idx="45">
                  <c:v>2300000</c:v>
                </c:pt>
                <c:pt idx="46">
                  <c:v>2350000</c:v>
                </c:pt>
                <c:pt idx="47">
                  <c:v>2400000</c:v>
                </c:pt>
                <c:pt idx="48">
                  <c:v>2450000</c:v>
                </c:pt>
                <c:pt idx="49">
                  <c:v>2500000</c:v>
                </c:pt>
                <c:pt idx="50">
                  <c:v>2550000</c:v>
                </c:pt>
                <c:pt idx="51">
                  <c:v>2600000</c:v>
                </c:pt>
                <c:pt idx="52">
                  <c:v>2650000</c:v>
                </c:pt>
                <c:pt idx="53">
                  <c:v>2700000</c:v>
                </c:pt>
                <c:pt idx="54">
                  <c:v>2750000</c:v>
                </c:pt>
                <c:pt idx="55">
                  <c:v>2800000</c:v>
                </c:pt>
                <c:pt idx="56">
                  <c:v>2850000</c:v>
                </c:pt>
                <c:pt idx="57">
                  <c:v>2900000</c:v>
                </c:pt>
                <c:pt idx="58">
                  <c:v>2950000</c:v>
                </c:pt>
                <c:pt idx="59">
                  <c:v>3000000</c:v>
                </c:pt>
              </c:numCache>
            </c:numRef>
          </c:xVal>
          <c:yVal>
            <c:numRef>
              <c:f>quick!$B$2:$B$61</c:f>
              <c:numCache>
                <c:formatCode>General</c:formatCode>
                <c:ptCount val="60"/>
                <c:pt idx="0">
                  <c:v>9190</c:v>
                </c:pt>
                <c:pt idx="1">
                  <c:v>28566</c:v>
                </c:pt>
                <c:pt idx="2">
                  <c:v>57443</c:v>
                </c:pt>
                <c:pt idx="3">
                  <c:v>95375</c:v>
                </c:pt>
                <c:pt idx="4">
                  <c:v>147291</c:v>
                </c:pt>
                <c:pt idx="5">
                  <c:v>199637</c:v>
                </c:pt>
                <c:pt idx="6">
                  <c:v>268243</c:v>
                </c:pt>
                <c:pt idx="7">
                  <c:v>337614</c:v>
                </c:pt>
                <c:pt idx="8">
                  <c:v>417413</c:v>
                </c:pt>
                <c:pt idx="9">
                  <c:v>511378</c:v>
                </c:pt>
                <c:pt idx="10">
                  <c:v>615390</c:v>
                </c:pt>
                <c:pt idx="11">
                  <c:v>725236</c:v>
                </c:pt>
                <c:pt idx="12">
                  <c:v>844611</c:v>
                </c:pt>
                <c:pt idx="13">
                  <c:v>972900</c:v>
                </c:pt>
                <c:pt idx="14">
                  <c:v>1109677</c:v>
                </c:pt>
                <c:pt idx="15">
                  <c:v>1255161</c:v>
                </c:pt>
                <c:pt idx="16">
                  <c:v>1411046</c:v>
                </c:pt>
                <c:pt idx="17">
                  <c:v>1578218</c:v>
                </c:pt>
                <c:pt idx="18">
                  <c:v>1752826</c:v>
                </c:pt>
                <c:pt idx="19">
                  <c:v>1938471</c:v>
                </c:pt>
                <c:pt idx="20">
                  <c:v>2129719</c:v>
                </c:pt>
                <c:pt idx="21">
                  <c:v>2332406</c:v>
                </c:pt>
                <c:pt idx="22">
                  <c:v>2548770</c:v>
                </c:pt>
                <c:pt idx="23">
                  <c:v>2763285</c:v>
                </c:pt>
                <c:pt idx="24">
                  <c:v>2989628</c:v>
                </c:pt>
                <c:pt idx="25">
                  <c:v>3226899</c:v>
                </c:pt>
                <c:pt idx="26">
                  <c:v>3473608</c:v>
                </c:pt>
                <c:pt idx="27">
                  <c:v>3728991</c:v>
                </c:pt>
                <c:pt idx="28">
                  <c:v>3997241</c:v>
                </c:pt>
                <c:pt idx="29">
                  <c:v>4272128</c:v>
                </c:pt>
                <c:pt idx="30">
                  <c:v>4553005</c:v>
                </c:pt>
                <c:pt idx="31">
                  <c:v>4862293</c:v>
                </c:pt>
                <c:pt idx="32">
                  <c:v>5176991</c:v>
                </c:pt>
                <c:pt idx="33">
                  <c:v>5502572</c:v>
                </c:pt>
                <c:pt idx="34">
                  <c:v>5813993</c:v>
                </c:pt>
                <c:pt idx="35">
                  <c:v>6154693</c:v>
                </c:pt>
                <c:pt idx="36">
                  <c:v>6477314</c:v>
                </c:pt>
                <c:pt idx="37">
                  <c:v>6834824</c:v>
                </c:pt>
                <c:pt idx="38">
                  <c:v>7174399</c:v>
                </c:pt>
                <c:pt idx="39">
                  <c:v>7533275</c:v>
                </c:pt>
                <c:pt idx="40">
                  <c:v>7932100</c:v>
                </c:pt>
                <c:pt idx="41">
                  <c:v>8344549</c:v>
                </c:pt>
                <c:pt idx="42">
                  <c:v>8729052</c:v>
                </c:pt>
                <c:pt idx="43">
                  <c:v>9138051</c:v>
                </c:pt>
                <c:pt idx="44">
                  <c:v>9541171</c:v>
                </c:pt>
                <c:pt idx="45">
                  <c:v>9947608</c:v>
                </c:pt>
                <c:pt idx="46">
                  <c:v>10401075</c:v>
                </c:pt>
                <c:pt idx="47">
                  <c:v>10849916</c:v>
                </c:pt>
                <c:pt idx="48">
                  <c:v>11339930</c:v>
                </c:pt>
                <c:pt idx="49">
                  <c:v>11772204</c:v>
                </c:pt>
                <c:pt idx="50">
                  <c:v>12212079</c:v>
                </c:pt>
                <c:pt idx="51">
                  <c:v>12702154</c:v>
                </c:pt>
                <c:pt idx="52">
                  <c:v>13193413</c:v>
                </c:pt>
                <c:pt idx="53">
                  <c:v>13680825</c:v>
                </c:pt>
                <c:pt idx="54">
                  <c:v>14173364</c:v>
                </c:pt>
                <c:pt idx="55">
                  <c:v>14691801</c:v>
                </c:pt>
                <c:pt idx="56">
                  <c:v>15205308</c:v>
                </c:pt>
                <c:pt idx="57">
                  <c:v>15733416</c:v>
                </c:pt>
                <c:pt idx="58">
                  <c:v>16236852</c:v>
                </c:pt>
                <c:pt idx="59">
                  <c:v>16779697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9B-43F5-9D61-9E8C238656A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quick!$A$2:$A$61</c:f>
              <c:numCache>
                <c:formatCode>General</c:formatCode>
                <c:ptCount val="60"/>
                <c:pt idx="0">
                  <c:v>50000</c:v>
                </c:pt>
                <c:pt idx="1">
                  <c:v>100000</c:v>
                </c:pt>
                <c:pt idx="2">
                  <c:v>150000</c:v>
                </c:pt>
                <c:pt idx="3">
                  <c:v>200000</c:v>
                </c:pt>
                <c:pt idx="4">
                  <c:v>250000</c:v>
                </c:pt>
                <c:pt idx="5">
                  <c:v>300000</c:v>
                </c:pt>
                <c:pt idx="6">
                  <c:v>350000</c:v>
                </c:pt>
                <c:pt idx="7">
                  <c:v>400000</c:v>
                </c:pt>
                <c:pt idx="8">
                  <c:v>450000</c:v>
                </c:pt>
                <c:pt idx="9">
                  <c:v>500000</c:v>
                </c:pt>
                <c:pt idx="10">
                  <c:v>550000</c:v>
                </c:pt>
                <c:pt idx="11">
                  <c:v>600000</c:v>
                </c:pt>
                <c:pt idx="12">
                  <c:v>650000</c:v>
                </c:pt>
                <c:pt idx="13">
                  <c:v>700000</c:v>
                </c:pt>
                <c:pt idx="14">
                  <c:v>750000</c:v>
                </c:pt>
                <c:pt idx="15">
                  <c:v>800000</c:v>
                </c:pt>
                <c:pt idx="16">
                  <c:v>850000</c:v>
                </c:pt>
                <c:pt idx="17">
                  <c:v>900000</c:v>
                </c:pt>
                <c:pt idx="18">
                  <c:v>950000</c:v>
                </c:pt>
                <c:pt idx="19">
                  <c:v>1000000</c:v>
                </c:pt>
                <c:pt idx="20">
                  <c:v>1050000</c:v>
                </c:pt>
                <c:pt idx="21">
                  <c:v>1100000</c:v>
                </c:pt>
                <c:pt idx="22">
                  <c:v>1150000</c:v>
                </c:pt>
                <c:pt idx="23">
                  <c:v>1200000</c:v>
                </c:pt>
                <c:pt idx="24">
                  <c:v>1250000</c:v>
                </c:pt>
                <c:pt idx="25">
                  <c:v>1300000</c:v>
                </c:pt>
                <c:pt idx="26">
                  <c:v>1350000</c:v>
                </c:pt>
                <c:pt idx="27">
                  <c:v>1400000</c:v>
                </c:pt>
                <c:pt idx="28">
                  <c:v>1450000</c:v>
                </c:pt>
                <c:pt idx="29">
                  <c:v>1500000</c:v>
                </c:pt>
                <c:pt idx="30">
                  <c:v>1550000</c:v>
                </c:pt>
                <c:pt idx="31">
                  <c:v>1600000</c:v>
                </c:pt>
                <c:pt idx="32">
                  <c:v>1650000</c:v>
                </c:pt>
                <c:pt idx="33">
                  <c:v>1700000</c:v>
                </c:pt>
                <c:pt idx="34">
                  <c:v>1750000</c:v>
                </c:pt>
                <c:pt idx="35">
                  <c:v>1800000</c:v>
                </c:pt>
                <c:pt idx="36">
                  <c:v>1850000</c:v>
                </c:pt>
                <c:pt idx="37">
                  <c:v>1900000</c:v>
                </c:pt>
                <c:pt idx="38">
                  <c:v>1950000</c:v>
                </c:pt>
                <c:pt idx="39">
                  <c:v>2000000</c:v>
                </c:pt>
                <c:pt idx="40">
                  <c:v>2050000</c:v>
                </c:pt>
                <c:pt idx="41">
                  <c:v>2100000</c:v>
                </c:pt>
                <c:pt idx="42">
                  <c:v>2150000</c:v>
                </c:pt>
                <c:pt idx="43">
                  <c:v>2200000</c:v>
                </c:pt>
                <c:pt idx="44">
                  <c:v>2250000</c:v>
                </c:pt>
                <c:pt idx="45">
                  <c:v>2300000</c:v>
                </c:pt>
                <c:pt idx="46">
                  <c:v>2350000</c:v>
                </c:pt>
                <c:pt idx="47">
                  <c:v>2400000</c:v>
                </c:pt>
                <c:pt idx="48">
                  <c:v>2450000</c:v>
                </c:pt>
                <c:pt idx="49">
                  <c:v>2500000</c:v>
                </c:pt>
                <c:pt idx="50">
                  <c:v>2550000</c:v>
                </c:pt>
                <c:pt idx="51">
                  <c:v>2600000</c:v>
                </c:pt>
                <c:pt idx="52">
                  <c:v>2650000</c:v>
                </c:pt>
                <c:pt idx="53">
                  <c:v>2700000</c:v>
                </c:pt>
                <c:pt idx="54">
                  <c:v>2750000</c:v>
                </c:pt>
                <c:pt idx="55">
                  <c:v>2800000</c:v>
                </c:pt>
                <c:pt idx="56">
                  <c:v>2850000</c:v>
                </c:pt>
                <c:pt idx="57">
                  <c:v>2900000</c:v>
                </c:pt>
                <c:pt idx="58">
                  <c:v>2950000</c:v>
                </c:pt>
                <c:pt idx="59">
                  <c:v>3000000</c:v>
                </c:pt>
              </c:numCache>
            </c:numRef>
          </c:xVal>
          <c:yVal>
            <c:numRef>
              <c:f>quick!$E$2:$E$61</c:f>
              <c:numCache>
                <c:formatCode>0.00</c:formatCode>
                <c:ptCount val="60"/>
                <c:pt idx="0">
                  <c:v>100978.12665040116</c:v>
                </c:pt>
                <c:pt idx="1">
                  <c:v>214894.17161042237</c:v>
                </c:pt>
                <c:pt idx="2">
                  <c:v>333693.55298841564</c:v>
                </c:pt>
                <c:pt idx="3">
                  <c:v>455664.17984008486</c:v>
                </c:pt>
                <c:pt idx="4">
                  <c:v>579992.92328316683</c:v>
                </c:pt>
                <c:pt idx="5">
                  <c:v>706200.8609056914</c:v>
                </c:pt>
                <c:pt idx="6">
                  <c:v>833971.53681972681</c:v>
                </c:pt>
                <c:pt idx="7">
                  <c:v>963080.03291864996</c:v>
                </c:pt>
                <c:pt idx="8">
                  <c:v>1093358.1780768833</c:v>
                </c:pt>
                <c:pt idx="9">
                  <c:v>1224675.438114434</c:v>
                </c:pt>
                <c:pt idx="10">
                  <c:v>1356927.5333924661</c:v>
                </c:pt>
                <c:pt idx="11">
                  <c:v>1490029.2316691033</c:v>
                </c:pt>
                <c:pt idx="12">
                  <c:v>1623909.560544604</c:v>
                </c:pt>
                <c:pt idx="13">
                  <c:v>1758508.501806794</c:v>
                </c:pt>
                <c:pt idx="14">
                  <c:v>1893774.6350355614</c:v>
                </c:pt>
                <c:pt idx="15">
                  <c:v>2029663.4123142604</c:v>
                </c:pt>
                <c:pt idx="16">
                  <c:v>2166135.8658933071</c:v>
                </c:pt>
                <c:pt idx="17">
                  <c:v>2303157.6209403472</c:v>
                </c:pt>
                <c:pt idx="18">
                  <c:v>2440698.1283217673</c:v>
                </c:pt>
                <c:pt idx="19">
                  <c:v>2578730.0593250683</c:v>
                </c:pt>
                <c:pt idx="20">
                  <c:v>2717228.8217196655</c:v>
                </c:pt>
                <c:pt idx="21">
                  <c:v>2856172.1681907526</c:v>
                </c:pt>
                <c:pt idx="22">
                  <c:v>2995539.8761028904</c:v>
                </c:pt>
                <c:pt idx="23">
                  <c:v>3135313.483053647</c:v>
                </c:pt>
                <c:pt idx="24">
                  <c:v>3275476.0665716394</c:v>
                </c:pt>
                <c:pt idx="25">
                  <c:v>3416012.059114269</c:v>
                </c:pt>
                <c:pt idx="26">
                  <c:v>3556907.0915655596</c:v>
                </c:pt>
                <c:pt idx="27">
                  <c:v>3698147.8599482686</c:v>
                </c:pt>
                <c:pt idx="28">
                  <c:v>3839722.0111990189</c:v>
                </c:pt>
                <c:pt idx="29">
                  <c:v>3981618.0447154241</c:v>
                </c:pt>
                <c:pt idx="30">
                  <c:v>4123825.2270433367</c:v>
                </c:pt>
                <c:pt idx="31">
                  <c:v>4266333.5175824417</c:v>
                </c:pt>
                <c:pt idx="32">
                  <c:v>4409133.5035867319</c:v>
                </c:pt>
                <c:pt idx="33">
                  <c:v>4552216.3430501549</c:v>
                </c:pt>
                <c:pt idx="34">
                  <c:v>4695573.7143167611</c:v>
                </c:pt>
                <c:pt idx="35">
                  <c:v>4839197.7714538556</c:v>
                </c:pt>
                <c:pt idx="36">
                  <c:v>4983081.1045870716</c:v>
                </c:pt>
                <c:pt idx="37">
                  <c:v>5127216.7045263154</c:v>
                </c:pt>
                <c:pt idx="38">
                  <c:v>5271597.93111757</c:v>
                </c:pt>
                <c:pt idx="39">
                  <c:v>5416218.4848425379</c:v>
                </c:pt>
                <c:pt idx="40">
                  <c:v>5561072.3812598912</c:v>
                </c:pt>
                <c:pt idx="41">
                  <c:v>5706153.9279413521</c:v>
                </c:pt>
                <c:pt idx="42">
                  <c:v>5851457.7036054339</c:v>
                </c:pt>
                <c:pt idx="43">
                  <c:v>5996978.5391931469</c:v>
                </c:pt>
                <c:pt idx="44">
                  <c:v>6142711.5006648665</c:v>
                </c:pt>
                <c:pt idx="45">
                  <c:v>6288651.873327042</c:v>
                </c:pt>
                <c:pt idx="46">
                  <c:v>6434795.1475223452</c:v>
                </c:pt>
                <c:pt idx="47">
                  <c:v>6581137.0055381758</c:v>
                </c:pt>
                <c:pt idx="48">
                  <c:v>6727673.3096065186</c:v>
                </c:pt>
                <c:pt idx="49">
                  <c:v>6874400.0908837803</c:v>
                </c:pt>
                <c:pt idx="50">
                  <c:v>7021313.5393125275</c:v>
                </c:pt>
                <c:pt idx="51">
                  <c:v>7168409.9942786591</c:v>
                </c:pt>
                <c:pt idx="52">
                  <c:v>7315685.9359874828</c:v>
                </c:pt>
                <c:pt idx="53">
                  <c:v>7463137.97749086</c:v>
                </c:pt>
                <c:pt idx="54">
                  <c:v>7610762.8573051021</c:v>
                </c:pt>
                <c:pt idx="55">
                  <c:v>7758557.4325658996</c:v>
                </c:pt>
                <c:pt idx="56">
                  <c:v>7906518.6726723332</c:v>
                </c:pt>
                <c:pt idx="57">
                  <c:v>8054643.6533770198</c:v>
                </c:pt>
                <c:pt idx="58">
                  <c:v>8202929.5512839518</c:v>
                </c:pt>
                <c:pt idx="59">
                  <c:v>8351373.6387194498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9B-43F5-9D61-9E8C23865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209776"/>
        <c:axId val="583207616"/>
      </c:scatterChart>
      <c:valAx>
        <c:axId val="58320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3207616"/>
        <c:crosses val="autoZero"/>
        <c:crossBetween val="midCat"/>
      </c:valAx>
      <c:valAx>
        <c:axId val="58320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320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13</xdr:row>
      <xdr:rowOff>162000</xdr:rowOff>
    </xdr:from>
    <xdr:to>
      <xdr:col>17</xdr:col>
      <xdr:colOff>37440</xdr:colOff>
      <xdr:row>33</xdr:row>
      <xdr:rowOff>150480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1038225</xdr:colOff>
      <xdr:row>31</xdr:row>
      <xdr:rowOff>9525</xdr:rowOff>
    </xdr:from>
    <xdr:to>
      <xdr:col>13</xdr:col>
      <xdr:colOff>114300</xdr:colOff>
      <xdr:row>51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60FAF0-C2A0-937B-06B4-C93C2D2337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zoomScaleNormal="100" workbookViewId="0">
      <selection activeCell="J2" sqref="J2:J13"/>
    </sheetView>
  </sheetViews>
  <sheetFormatPr baseColWidth="10" defaultColWidth="9.140625" defaultRowHeight="15" x14ac:dyDescent="0.25"/>
  <cols>
    <col min="1" max="1" width="16.42578125" customWidth="1"/>
    <col min="2" max="2" width="23.7109375" customWidth="1"/>
    <col min="3" max="3" width="23.140625" customWidth="1"/>
    <col min="4" max="4" width="28" customWidth="1"/>
    <col min="5" max="5" width="24.85546875" customWidth="1"/>
    <col min="6" max="6" width="13" customWidth="1"/>
    <col min="9" max="9" width="8.28515625" customWidth="1"/>
    <col min="10" max="10" width="18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0" x14ac:dyDescent="0.25">
      <c r="A2">
        <v>1000</v>
      </c>
      <c r="B2">
        <v>7829</v>
      </c>
      <c r="C2">
        <f t="shared" ref="C2:C13" si="0">B2/(A2*A2)</f>
        <v>7.8289999999999992E-3</v>
      </c>
      <c r="D2">
        <f t="shared" ref="D2:D13" si="1">$H$7*A2*A2</f>
        <v>8249.0583897848446</v>
      </c>
      <c r="E2">
        <f t="shared" ref="E2:E13" si="2">$H$9 * A2*A2</f>
        <v>8392.4214876033056</v>
      </c>
      <c r="J2" t="b">
        <f>B2&lt;=D2</f>
        <v>1</v>
      </c>
    </row>
    <row r="3" spans="1:10" x14ac:dyDescent="0.25">
      <c r="A3">
        <v>2000</v>
      </c>
      <c r="B3">
        <v>32195</v>
      </c>
      <c r="C3">
        <f t="shared" si="0"/>
        <v>8.0487500000000003E-3</v>
      </c>
      <c r="D3">
        <f t="shared" si="1"/>
        <v>32996.233559139378</v>
      </c>
      <c r="E3">
        <f t="shared" si="2"/>
        <v>33569.685950413223</v>
      </c>
      <c r="J3" t="b">
        <f t="shared" ref="J3:J13" si="3">B3&lt;=D3</f>
        <v>1</v>
      </c>
    </row>
    <row r="4" spans="1:10" x14ac:dyDescent="0.25">
      <c r="A4">
        <v>3000</v>
      </c>
      <c r="B4">
        <v>72938</v>
      </c>
      <c r="C4">
        <f t="shared" si="0"/>
        <v>8.1042222222222227E-3</v>
      </c>
      <c r="D4">
        <f t="shared" si="1"/>
        <v>74241.525508063598</v>
      </c>
      <c r="E4">
        <f t="shared" si="2"/>
        <v>75531.793388429753</v>
      </c>
      <c r="J4" t="b">
        <f t="shared" si="3"/>
        <v>1</v>
      </c>
    </row>
    <row r="5" spans="1:10" x14ac:dyDescent="0.25">
      <c r="A5">
        <v>4000</v>
      </c>
      <c r="B5">
        <v>131458</v>
      </c>
      <c r="C5">
        <f t="shared" si="0"/>
        <v>8.2161249999999995E-3</v>
      </c>
      <c r="D5">
        <f t="shared" si="1"/>
        <v>131984.93423655751</v>
      </c>
      <c r="E5">
        <f t="shared" si="2"/>
        <v>134278.74380165289</v>
      </c>
      <c r="J5" t="b">
        <f t="shared" si="3"/>
        <v>1</v>
      </c>
    </row>
    <row r="6" spans="1:10" x14ac:dyDescent="0.25">
      <c r="A6">
        <v>5000</v>
      </c>
      <c r="B6">
        <v>208664</v>
      </c>
      <c r="C6">
        <f t="shared" si="0"/>
        <v>8.3465599999999994E-3</v>
      </c>
      <c r="D6">
        <f t="shared" si="1"/>
        <v>206226.4597446211</v>
      </c>
      <c r="E6">
        <f t="shared" si="2"/>
        <v>209810.53719008266</v>
      </c>
      <c r="J6" t="b">
        <f t="shared" si="3"/>
        <v>0</v>
      </c>
    </row>
    <row r="7" spans="1:10" x14ac:dyDescent="0.25">
      <c r="A7">
        <v>6000</v>
      </c>
      <c r="B7">
        <v>297741</v>
      </c>
      <c r="C7">
        <f t="shared" si="0"/>
        <v>8.2705833333333329E-3</v>
      </c>
      <c r="D7">
        <f t="shared" si="1"/>
        <v>296966.10203225439</v>
      </c>
      <c r="E7">
        <f t="shared" si="2"/>
        <v>302127.17355371901</v>
      </c>
      <c r="G7" s="1" t="s">
        <v>5</v>
      </c>
      <c r="H7">
        <f>AVERAGE(C2:C13)</f>
        <v>8.2490583897848434E-3</v>
      </c>
      <c r="J7" t="b">
        <f t="shared" si="3"/>
        <v>0</v>
      </c>
    </row>
    <row r="8" spans="1:10" x14ac:dyDescent="0.25">
      <c r="A8">
        <v>7000</v>
      </c>
      <c r="B8">
        <v>407043</v>
      </c>
      <c r="C8">
        <f t="shared" si="0"/>
        <v>8.3070000000000001E-3</v>
      </c>
      <c r="D8">
        <f t="shared" si="1"/>
        <v>404203.86109945731</v>
      </c>
      <c r="E8">
        <f t="shared" si="2"/>
        <v>411228.65289256198</v>
      </c>
      <c r="J8" t="b">
        <f t="shared" si="3"/>
        <v>0</v>
      </c>
    </row>
    <row r="9" spans="1:10" x14ac:dyDescent="0.25">
      <c r="A9">
        <v>8000</v>
      </c>
      <c r="B9">
        <v>535867</v>
      </c>
      <c r="C9">
        <f t="shared" si="0"/>
        <v>8.3729218749999997E-3</v>
      </c>
      <c r="D9">
        <f t="shared" si="1"/>
        <v>527939.73694623006</v>
      </c>
      <c r="E9">
        <f t="shared" si="2"/>
        <v>537114.97520661156</v>
      </c>
      <c r="G9" s="1" t="s">
        <v>6</v>
      </c>
      <c r="H9">
        <f>MAX(C2:C13)</f>
        <v>8.3924214876033056E-3</v>
      </c>
      <c r="J9" t="b">
        <f t="shared" si="3"/>
        <v>0</v>
      </c>
    </row>
    <row r="10" spans="1:10" x14ac:dyDescent="0.25">
      <c r="A10">
        <v>9000</v>
      </c>
      <c r="B10">
        <v>675606</v>
      </c>
      <c r="C10">
        <f t="shared" si="0"/>
        <v>8.3408148148148148E-3</v>
      </c>
      <c r="D10">
        <f t="shared" si="1"/>
        <v>668173.72957257228</v>
      </c>
      <c r="E10">
        <f t="shared" si="2"/>
        <v>679786.1404958677</v>
      </c>
      <c r="J10" t="b">
        <f t="shared" si="3"/>
        <v>0</v>
      </c>
    </row>
    <row r="11" spans="1:10" x14ac:dyDescent="0.25">
      <c r="A11">
        <v>10000</v>
      </c>
      <c r="B11">
        <v>837917</v>
      </c>
      <c r="C11">
        <f t="shared" si="0"/>
        <v>8.37917E-3</v>
      </c>
      <c r="D11">
        <f t="shared" si="1"/>
        <v>824905.83897848439</v>
      </c>
      <c r="E11">
        <f t="shared" si="2"/>
        <v>839242.14876033063</v>
      </c>
      <c r="J11" t="b">
        <f t="shared" si="3"/>
        <v>0</v>
      </c>
    </row>
    <row r="12" spans="1:10" x14ac:dyDescent="0.25">
      <c r="A12">
        <v>11000</v>
      </c>
      <c r="B12">
        <v>1015483</v>
      </c>
      <c r="C12">
        <f t="shared" si="0"/>
        <v>8.3924214876033056E-3</v>
      </c>
      <c r="D12">
        <f t="shared" si="1"/>
        <v>998136.06516396604</v>
      </c>
      <c r="E12">
        <f t="shared" si="2"/>
        <v>1015483</v>
      </c>
      <c r="J12" t="b">
        <f t="shared" si="3"/>
        <v>0</v>
      </c>
    </row>
    <row r="13" spans="1:10" x14ac:dyDescent="0.25">
      <c r="A13">
        <v>12000</v>
      </c>
      <c r="B13">
        <v>1206883</v>
      </c>
      <c r="C13">
        <f t="shared" si="0"/>
        <v>8.3811319444444445E-3</v>
      </c>
      <c r="D13">
        <f t="shared" si="1"/>
        <v>1187864.4081290176</v>
      </c>
      <c r="E13">
        <f t="shared" si="2"/>
        <v>1208508.694214876</v>
      </c>
      <c r="J13" t="b">
        <f t="shared" si="3"/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zoomScaleNormal="100" workbookViewId="0">
      <selection activeCell="E18" sqref="E18"/>
    </sheetView>
  </sheetViews>
  <sheetFormatPr baseColWidth="10" defaultColWidth="10.5703125" defaultRowHeight="15" x14ac:dyDescent="0.25"/>
  <sheetData>
    <row r="1" spans="1:4" x14ac:dyDescent="0.25">
      <c r="A1">
        <v>13000</v>
      </c>
      <c r="B1">
        <v>1422936</v>
      </c>
      <c r="C1">
        <f t="shared" ref="C1:C7" si="0">B1/(A1*A1)</f>
        <v>8.4197396449704146E-3</v>
      </c>
      <c r="D1">
        <f>bubble!$H$7*A1*A1</f>
        <v>1394090.8678736384</v>
      </c>
    </row>
    <row r="2" spans="1:4" x14ac:dyDescent="0.25">
      <c r="A2">
        <v>14000</v>
      </c>
      <c r="B2">
        <v>1649290</v>
      </c>
      <c r="C2">
        <f t="shared" si="0"/>
        <v>8.4147448979591845E-3</v>
      </c>
      <c r="D2">
        <f>bubble!$H$7*A2*A2</f>
        <v>1616815.4443978292</v>
      </c>
    </row>
    <row r="3" spans="1:4" x14ac:dyDescent="0.25">
      <c r="A3">
        <v>15000</v>
      </c>
      <c r="B3">
        <v>1898018</v>
      </c>
      <c r="C3">
        <f t="shared" si="0"/>
        <v>8.435635555555555E-3</v>
      </c>
      <c r="D3">
        <f>bubble!$H$7*A3*A3</f>
        <v>1856038.1377015898</v>
      </c>
    </row>
    <row r="4" spans="1:4" x14ac:dyDescent="0.25">
      <c r="A4">
        <v>20000</v>
      </c>
      <c r="B4">
        <v>3350084</v>
      </c>
      <c r="C4">
        <f t="shared" si="0"/>
        <v>8.3752099999999993E-3</v>
      </c>
      <c r="D4">
        <f>bubble!$H$7*A4*A4</f>
        <v>3299623.3559139376</v>
      </c>
    </row>
    <row r="5" spans="1:4" x14ac:dyDescent="0.25">
      <c r="A5">
        <v>25000</v>
      </c>
      <c r="B5">
        <v>5242753</v>
      </c>
      <c r="C5">
        <f t="shared" si="0"/>
        <v>8.3884048000000006E-3</v>
      </c>
      <c r="D5">
        <f>bubble!$H$7*A5*A5</f>
        <v>5155661.4936155267</v>
      </c>
    </row>
    <row r="6" spans="1:4" x14ac:dyDescent="0.25">
      <c r="A6">
        <v>30000</v>
      </c>
      <c r="B6">
        <v>7532748</v>
      </c>
      <c r="C6">
        <f t="shared" si="0"/>
        <v>8.3697200000000006E-3</v>
      </c>
      <c r="D6">
        <f>bubble!$H$7*A6*A6</f>
        <v>7424152.5508063594</v>
      </c>
    </row>
    <row r="7" spans="1:4" x14ac:dyDescent="0.25">
      <c r="A7">
        <v>35000</v>
      </c>
      <c r="B7">
        <v>10266937</v>
      </c>
      <c r="C7">
        <f t="shared" si="0"/>
        <v>8.3811730612244895E-3</v>
      </c>
      <c r="D7">
        <f>bubble!$H$7*A7*A7</f>
        <v>10105096.527486432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zoomScaleNormal="100" workbookViewId="0">
      <selection activeCell="C16" sqref="C16"/>
    </sheetView>
  </sheetViews>
  <sheetFormatPr baseColWidth="10" defaultColWidth="9.140625" defaultRowHeight="15" x14ac:dyDescent="0.25"/>
  <cols>
    <col min="1" max="1" width="18.7109375" customWidth="1"/>
    <col min="2" max="2" width="20.42578125" customWidth="1"/>
    <col min="3" max="3" width="20" customWidth="1"/>
    <col min="4" max="4" width="22.85546875" customWidth="1"/>
    <col min="6" max="6" width="13.140625" customWidth="1"/>
    <col min="7" max="7" width="13.85546875" customWidth="1"/>
    <col min="9" max="9" width="18.28515625" customWidth="1"/>
    <col min="10" max="10" width="20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7</v>
      </c>
    </row>
    <row r="2" spans="1:9" x14ac:dyDescent="0.25">
      <c r="A2">
        <v>1000</v>
      </c>
      <c r="B2">
        <v>582</v>
      </c>
      <c r="C2">
        <f>B2/(A2*LOG10(A2))</f>
        <v>0.19400000000000001</v>
      </c>
      <c r="D2">
        <f t="shared" ref="D2:D20" si="0">$G$7*A2*LOG(A2)</f>
        <v>494.38277065359171</v>
      </c>
      <c r="I2" t="b">
        <f t="shared" ref="I2:I20" si="1">B2&lt;D2</f>
        <v>0</v>
      </c>
    </row>
    <row r="3" spans="1:9" x14ac:dyDescent="0.25">
      <c r="A3">
        <v>2000</v>
      </c>
      <c r="B3">
        <v>1186</v>
      </c>
      <c r="C3">
        <f t="shared" ref="C3:C20" si="2">B3/(A3*LOG10(A3))</f>
        <v>0.17964090019749179</v>
      </c>
      <c r="D3">
        <f t="shared" si="0"/>
        <v>1087.9815701779819</v>
      </c>
      <c r="I3" t="b">
        <f t="shared" si="1"/>
        <v>0</v>
      </c>
    </row>
    <row r="4" spans="1:9" x14ac:dyDescent="0.25">
      <c r="A4">
        <v>3000</v>
      </c>
      <c r="B4">
        <v>1830</v>
      </c>
      <c r="C4">
        <f t="shared" si="2"/>
        <v>0.17543247856887875</v>
      </c>
      <c r="D4">
        <f t="shared" si="0"/>
        <v>1719.0288398068001</v>
      </c>
      <c r="I4" t="b">
        <f t="shared" si="1"/>
        <v>0</v>
      </c>
    </row>
    <row r="5" spans="1:9" x14ac:dyDescent="0.25">
      <c r="A5">
        <v>4000</v>
      </c>
      <c r="B5">
        <v>2508</v>
      </c>
      <c r="C5">
        <f t="shared" si="2"/>
        <v>0.17406706204491765</v>
      </c>
      <c r="D5">
        <f t="shared" si="0"/>
        <v>2374.3951980975608</v>
      </c>
      <c r="I5" t="b">
        <f t="shared" si="1"/>
        <v>0</v>
      </c>
    </row>
    <row r="6" spans="1:9" x14ac:dyDescent="0.25">
      <c r="A6">
        <v>5000</v>
      </c>
      <c r="B6">
        <v>3152</v>
      </c>
      <c r="C6">
        <f t="shared" si="2"/>
        <v>0.17042582104235246</v>
      </c>
      <c r="D6">
        <f t="shared" si="0"/>
        <v>3047.8450655136153</v>
      </c>
      <c r="I6" t="b">
        <f t="shared" si="1"/>
        <v>0</v>
      </c>
    </row>
    <row r="7" spans="1:9" x14ac:dyDescent="0.25">
      <c r="A7">
        <v>6000</v>
      </c>
      <c r="B7">
        <v>3807</v>
      </c>
      <c r="C7">
        <f t="shared" si="2"/>
        <v>0.16793927980929066</v>
      </c>
      <c r="D7">
        <f t="shared" si="0"/>
        <v>3735.7057662259949</v>
      </c>
      <c r="F7" s="1" t="s">
        <v>5</v>
      </c>
      <c r="G7">
        <f>AVERAGE(C2:C20)</f>
        <v>0.16479425688453056</v>
      </c>
      <c r="I7" t="b">
        <f t="shared" si="1"/>
        <v>0</v>
      </c>
    </row>
    <row r="8" spans="1:9" x14ac:dyDescent="0.25">
      <c r="A8">
        <v>7000</v>
      </c>
      <c r="B8">
        <v>4512</v>
      </c>
      <c r="C8">
        <f t="shared" si="2"/>
        <v>0.16763458873184897</v>
      </c>
      <c r="D8">
        <f t="shared" si="0"/>
        <v>4435.5505190662016</v>
      </c>
      <c r="I8" t="b">
        <f t="shared" si="1"/>
        <v>0</v>
      </c>
    </row>
    <row r="9" spans="1:9" x14ac:dyDescent="0.25">
      <c r="A9">
        <v>8000</v>
      </c>
      <c r="B9">
        <v>5112</v>
      </c>
      <c r="C9">
        <f t="shared" si="2"/>
        <v>0.16371644059697127</v>
      </c>
      <c r="D9">
        <f t="shared" si="0"/>
        <v>5145.6545116783154</v>
      </c>
      <c r="I9" t="b">
        <f t="shared" si="1"/>
        <v>1</v>
      </c>
    </row>
    <row r="10" spans="1:9" x14ac:dyDescent="0.25">
      <c r="A10">
        <v>9000</v>
      </c>
      <c r="B10">
        <v>5758</v>
      </c>
      <c r="C10">
        <f t="shared" si="2"/>
        <v>0.16179528095470613</v>
      </c>
      <c r="D10">
        <f t="shared" si="0"/>
        <v>5864.7281029584738</v>
      </c>
      <c r="I10" t="b">
        <f t="shared" si="1"/>
        <v>1</v>
      </c>
    </row>
    <row r="11" spans="1:9" x14ac:dyDescent="0.25">
      <c r="A11">
        <v>10000</v>
      </c>
      <c r="B11">
        <v>6433</v>
      </c>
      <c r="C11">
        <f t="shared" si="2"/>
        <v>0.160825</v>
      </c>
      <c r="D11">
        <f t="shared" si="0"/>
        <v>6591.7702753812227</v>
      </c>
      <c r="I11" t="b">
        <f t="shared" si="1"/>
        <v>1</v>
      </c>
    </row>
    <row r="12" spans="1:9" x14ac:dyDescent="0.25">
      <c r="A12">
        <v>11000</v>
      </c>
      <c r="B12">
        <v>7378</v>
      </c>
      <c r="C12">
        <f t="shared" si="2"/>
        <v>0.16596439024361054</v>
      </c>
      <c r="D12">
        <f t="shared" si="0"/>
        <v>7325.9813476215013</v>
      </c>
      <c r="I12" t="b">
        <f t="shared" si="1"/>
        <v>0</v>
      </c>
    </row>
    <row r="13" spans="1:9" x14ac:dyDescent="0.25">
      <c r="A13">
        <v>12000</v>
      </c>
      <c r="B13">
        <v>7822</v>
      </c>
      <c r="C13">
        <f t="shared" si="2"/>
        <v>0.15979513878303486</v>
      </c>
      <c r="D13">
        <f t="shared" si="0"/>
        <v>8066.7077056767821</v>
      </c>
      <c r="I13" t="b">
        <f t="shared" si="1"/>
        <v>1</v>
      </c>
    </row>
    <row r="14" spans="1:9" x14ac:dyDescent="0.25">
      <c r="A14">
        <v>13000</v>
      </c>
      <c r="B14">
        <v>8500</v>
      </c>
      <c r="C14">
        <f t="shared" si="2"/>
        <v>0.15893416555663525</v>
      </c>
      <c r="D14">
        <f t="shared" si="0"/>
        <v>8813.4050889099763</v>
      </c>
      <c r="I14" t="b">
        <f t="shared" si="1"/>
        <v>1</v>
      </c>
    </row>
    <row r="15" spans="1:9" x14ac:dyDescent="0.25">
      <c r="A15">
        <v>14000</v>
      </c>
      <c r="B15">
        <v>9215</v>
      </c>
      <c r="C15">
        <f t="shared" si="2"/>
        <v>0.15875396998120264</v>
      </c>
      <c r="D15">
        <f t="shared" si="0"/>
        <v>9565.6132402279927</v>
      </c>
      <c r="I15" t="b">
        <f t="shared" si="1"/>
        <v>1</v>
      </c>
    </row>
    <row r="16" spans="1:9" x14ac:dyDescent="0.25">
      <c r="A16">
        <v>15000</v>
      </c>
      <c r="B16">
        <v>10029</v>
      </c>
      <c r="C16">
        <f t="shared" si="2"/>
        <v>0.1601018652430472</v>
      </c>
      <c r="D16">
        <f t="shared" si="0"/>
        <v>10322.93783577097</v>
      </c>
      <c r="I16" t="b">
        <f t="shared" si="1"/>
        <v>1</v>
      </c>
    </row>
    <row r="17" spans="1:9" x14ac:dyDescent="0.25">
      <c r="A17">
        <v>20000</v>
      </c>
      <c r="B17">
        <v>13713</v>
      </c>
      <c r="C17">
        <f t="shared" si="2"/>
        <v>0.15941530300677459</v>
      </c>
      <c r="D17">
        <f t="shared" si="0"/>
        <v>14175.70083947043</v>
      </c>
      <c r="I17" t="b">
        <f t="shared" si="1"/>
        <v>1</v>
      </c>
    </row>
    <row r="18" spans="1:9" x14ac:dyDescent="0.25">
      <c r="A18">
        <v>25000</v>
      </c>
      <c r="B18">
        <v>16864</v>
      </c>
      <c r="C18">
        <f t="shared" si="2"/>
        <v>0.15338090075578001</v>
      </c>
      <c r="D18">
        <f t="shared" si="0"/>
        <v>18118.881388796355</v>
      </c>
      <c r="I18" t="b">
        <f t="shared" si="1"/>
        <v>1</v>
      </c>
    </row>
    <row r="19" spans="1:9" x14ac:dyDescent="0.25">
      <c r="A19">
        <v>30000</v>
      </c>
      <c r="B19">
        <v>20283</v>
      </c>
      <c r="C19">
        <f t="shared" si="2"/>
        <v>0.15101221555866357</v>
      </c>
      <c r="D19">
        <f t="shared" si="0"/>
        <v>22134.116104603916</v>
      </c>
      <c r="I19" t="b">
        <f t="shared" si="1"/>
        <v>1</v>
      </c>
    </row>
    <row r="20" spans="1:9" x14ac:dyDescent="0.25">
      <c r="A20">
        <v>35000</v>
      </c>
      <c r="B20">
        <v>23579</v>
      </c>
      <c r="C20">
        <f t="shared" si="2"/>
        <v>0.14825607973087471</v>
      </c>
      <c r="D20">
        <f t="shared" si="0"/>
        <v>26209.2710810506</v>
      </c>
      <c r="I20" t="b">
        <f t="shared" si="1"/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1"/>
  <sheetViews>
    <sheetView topLeftCell="A26" zoomScaleNormal="100" workbookViewId="0">
      <selection activeCell="P45" sqref="P45"/>
    </sheetView>
  </sheetViews>
  <sheetFormatPr baseColWidth="10" defaultColWidth="9.140625" defaultRowHeight="15" x14ac:dyDescent="0.25"/>
  <cols>
    <col min="1" max="1" width="14.5703125" customWidth="1"/>
    <col min="2" max="2" width="18.7109375" customWidth="1"/>
    <col min="3" max="3" width="25.42578125" customWidth="1"/>
    <col min="4" max="4" width="25.140625" style="2" customWidth="1"/>
    <col min="5" max="5" width="17.28515625" customWidth="1"/>
    <col min="6" max="6" width="14.85546875" customWidth="1"/>
    <col min="7" max="7" width="17" customWidth="1"/>
    <col min="9" max="9" width="10.42578125" customWidth="1"/>
    <col min="10" max="10" width="21.7109375" customWidth="1"/>
  </cols>
  <sheetData>
    <row r="1" spans="1:10" x14ac:dyDescent="0.25">
      <c r="A1" t="s">
        <v>0</v>
      </c>
      <c r="B1" t="s">
        <v>1</v>
      </c>
      <c r="C1" t="s">
        <v>9</v>
      </c>
      <c r="D1" t="s">
        <v>8</v>
      </c>
      <c r="E1" s="2" t="s">
        <v>7</v>
      </c>
    </row>
    <row r="2" spans="1:10" x14ac:dyDescent="0.25">
      <c r="A2">
        <v>50000</v>
      </c>
      <c r="B2">
        <v>9190</v>
      </c>
      <c r="C2">
        <f>A2*LOG10(B2)</f>
        <v>198165.77556930558</v>
      </c>
      <c r="D2">
        <f>B2/C2</f>
        <v>4.6375313666541434E-2</v>
      </c>
      <c r="E2" s="2">
        <f>$H$7*A2*LOG(A2)</f>
        <v>100978.12665040116</v>
      </c>
      <c r="J2" t="b">
        <f>B2&lt;E2</f>
        <v>1</v>
      </c>
    </row>
    <row r="3" spans="1:10" x14ac:dyDescent="0.25">
      <c r="A3">
        <v>100000</v>
      </c>
      <c r="B3">
        <v>28566</v>
      </c>
      <c r="C3">
        <f t="shared" ref="C3:C61" si="0">A3*LOG10(B3)</f>
        <v>445584.94318581541</v>
      </c>
      <c r="D3">
        <f t="shared" ref="D3:D61" si="1">B3/C3</f>
        <v>6.4108988503427874E-2</v>
      </c>
      <c r="E3" s="2">
        <f>$H$7*A3*LOG(A3)</f>
        <v>214894.17161042237</v>
      </c>
      <c r="J3" t="b">
        <f>B3&lt;E3</f>
        <v>1</v>
      </c>
    </row>
    <row r="4" spans="1:10" x14ac:dyDescent="0.25">
      <c r="A4">
        <v>150000</v>
      </c>
      <c r="B4">
        <v>57443</v>
      </c>
      <c r="C4">
        <f t="shared" si="0"/>
        <v>713885.5669729755</v>
      </c>
      <c r="D4">
        <f t="shared" si="1"/>
        <v>8.0465277150188599E-2</v>
      </c>
      <c r="E4" s="2">
        <f>$H$7*A4*LOG(A4)</f>
        <v>333693.55298841564</v>
      </c>
      <c r="J4" t="b">
        <f>B4&lt;E4</f>
        <v>1</v>
      </c>
    </row>
    <row r="5" spans="1:10" x14ac:dyDescent="0.25">
      <c r="A5">
        <v>200000</v>
      </c>
      <c r="B5">
        <v>95375</v>
      </c>
      <c r="C5">
        <f t="shared" si="0"/>
        <v>995886.91019258741</v>
      </c>
      <c r="D5">
        <f t="shared" si="1"/>
        <v>9.5768906111594651E-2</v>
      </c>
      <c r="E5" s="2">
        <f>$H$7*A5*LOG(A5)</f>
        <v>455664.17984008486</v>
      </c>
      <c r="J5" t="b">
        <f>B5&lt;E5</f>
        <v>1</v>
      </c>
    </row>
    <row r="6" spans="1:10" x14ac:dyDescent="0.25">
      <c r="A6">
        <v>250000</v>
      </c>
      <c r="B6">
        <v>147291</v>
      </c>
      <c r="C6">
        <f t="shared" si="0"/>
        <v>1292044.0526818885</v>
      </c>
      <c r="D6">
        <f t="shared" si="1"/>
        <v>0.11399843503344094</v>
      </c>
      <c r="E6" s="2">
        <f>$H$7*A6*LOG(A6)</f>
        <v>579992.92328316683</v>
      </c>
      <c r="J6" t="b">
        <f>B6&lt;E6</f>
        <v>1</v>
      </c>
    </row>
    <row r="7" spans="1:10" x14ac:dyDescent="0.25">
      <c r="A7">
        <v>300000</v>
      </c>
      <c r="B7">
        <v>199637</v>
      </c>
      <c r="C7">
        <f t="shared" si="0"/>
        <v>1590072.3104942178</v>
      </c>
      <c r="D7">
        <f t="shared" si="1"/>
        <v>0.12555215173701748</v>
      </c>
      <c r="E7" s="2">
        <f>$H$7*A7*LOG(A7)</f>
        <v>706200.8609056914</v>
      </c>
      <c r="G7" s="1" t="s">
        <v>5</v>
      </c>
      <c r="H7">
        <f>AVERAGE(D2:D128)</f>
        <v>0.42978834322084475</v>
      </c>
      <c r="J7" t="b">
        <f>B7&lt;E7</f>
        <v>1</v>
      </c>
    </row>
    <row r="8" spans="1:10" x14ac:dyDescent="0.25">
      <c r="A8">
        <v>350000</v>
      </c>
      <c r="B8">
        <v>268243</v>
      </c>
      <c r="C8">
        <f t="shared" si="0"/>
        <v>1899984.939142257</v>
      </c>
      <c r="D8">
        <f t="shared" si="1"/>
        <v>0.14118164542983039</v>
      </c>
      <c r="E8" s="2">
        <f>$H$7*A8*LOG(A8)</f>
        <v>833971.53681972681</v>
      </c>
      <c r="J8" t="b">
        <f>B8&lt;E8</f>
        <v>1</v>
      </c>
    </row>
    <row r="9" spans="1:10" x14ac:dyDescent="0.25">
      <c r="A9">
        <v>400000</v>
      </c>
      <c r="B9">
        <v>337614</v>
      </c>
      <c r="C9">
        <f t="shared" si="0"/>
        <v>2211368.1789689837</v>
      </c>
      <c r="D9">
        <f t="shared" si="1"/>
        <v>0.15267199881541541</v>
      </c>
      <c r="E9" s="2">
        <f>$H$7*A9*LOG(A9)</f>
        <v>963080.03291864996</v>
      </c>
      <c r="J9" t="b">
        <f>B9&lt;E9</f>
        <v>1</v>
      </c>
    </row>
    <row r="10" spans="1:10" x14ac:dyDescent="0.25">
      <c r="A10">
        <v>450000</v>
      </c>
      <c r="B10">
        <v>417413</v>
      </c>
      <c r="C10">
        <f t="shared" si="0"/>
        <v>2529254.6868152507</v>
      </c>
      <c r="D10">
        <f t="shared" si="1"/>
        <v>0.16503399288965712</v>
      </c>
      <c r="E10" s="2">
        <f>$H$7*A10*LOG(A10)</f>
        <v>1093358.1780768833</v>
      </c>
      <c r="J10" t="b">
        <f>B10&lt;E10</f>
        <v>1</v>
      </c>
    </row>
    <row r="11" spans="1:10" x14ac:dyDescent="0.25">
      <c r="A11">
        <v>500000</v>
      </c>
      <c r="B11">
        <v>511378</v>
      </c>
      <c r="C11">
        <f t="shared" si="0"/>
        <v>2854371.0201516496</v>
      </c>
      <c r="D11">
        <f t="shared" si="1"/>
        <v>0.1791561070336368</v>
      </c>
      <c r="E11" s="2">
        <f>$H$7*A11*LOG(A11)</f>
        <v>1224675.438114434</v>
      </c>
      <c r="J11" t="b">
        <f>B11&lt;E11</f>
        <v>1</v>
      </c>
    </row>
    <row r="12" spans="1:10" x14ac:dyDescent="0.25">
      <c r="A12">
        <v>550000</v>
      </c>
      <c r="B12">
        <v>615390</v>
      </c>
      <c r="C12">
        <f t="shared" si="0"/>
        <v>3184032.7391098589</v>
      </c>
      <c r="D12">
        <f t="shared" si="1"/>
        <v>0.19327376645380881</v>
      </c>
      <c r="E12" s="2">
        <f>$H$7*A12*LOG(A12)</f>
        <v>1356927.5333924661</v>
      </c>
      <c r="J12" t="b">
        <f>B12&lt;E12</f>
        <v>1</v>
      </c>
    </row>
    <row r="13" spans="1:10" x14ac:dyDescent="0.25">
      <c r="A13">
        <v>600000</v>
      </c>
      <c r="B13">
        <v>725236</v>
      </c>
      <c r="C13">
        <f t="shared" si="0"/>
        <v>3516287.6123450636</v>
      </c>
      <c r="D13">
        <f t="shared" si="1"/>
        <v>0.2062504777634869</v>
      </c>
      <c r="E13" s="2">
        <f>$H$7*A13*LOG(A13)</f>
        <v>1490029.2316691033</v>
      </c>
      <c r="J13" t="b">
        <f>B13&lt;E13</f>
        <v>1</v>
      </c>
    </row>
    <row r="14" spans="1:10" x14ac:dyDescent="0.25">
      <c r="A14">
        <v>650000</v>
      </c>
      <c r="B14">
        <v>844611</v>
      </c>
      <c r="C14">
        <f t="shared" si="0"/>
        <v>3852326.8766236724</v>
      </c>
      <c r="D14">
        <f t="shared" si="1"/>
        <v>0.21924697125916001</v>
      </c>
      <c r="E14" s="2">
        <f>$H$7*A14*LOG(A14)</f>
        <v>1623909.560544604</v>
      </c>
      <c r="J14" t="b">
        <f>B14&lt;E14</f>
        <v>1</v>
      </c>
    </row>
    <row r="15" spans="1:10" x14ac:dyDescent="0.25">
      <c r="A15">
        <v>700000</v>
      </c>
      <c r="B15">
        <v>972900</v>
      </c>
      <c r="C15">
        <f t="shared" si="0"/>
        <v>4191647.7423748448</v>
      </c>
      <c r="D15">
        <f t="shared" si="1"/>
        <v>0.23210442761318201</v>
      </c>
      <c r="E15" s="2">
        <f>$H$7*A15*LOG(A15)</f>
        <v>1758508.501806794</v>
      </c>
      <c r="J15" t="b">
        <f>B15&lt;E15</f>
        <v>1</v>
      </c>
    </row>
    <row r="16" spans="1:10" x14ac:dyDescent="0.25">
      <c r="A16">
        <v>750000</v>
      </c>
      <c r="B16">
        <v>1109677</v>
      </c>
      <c r="C16">
        <f t="shared" si="0"/>
        <v>4533897.4384607337</v>
      </c>
      <c r="D16">
        <f t="shared" si="1"/>
        <v>0.2447512355675909</v>
      </c>
      <c r="E16" s="2">
        <f>$H$7*A16*LOG(A16)</f>
        <v>1893774.6350355614</v>
      </c>
      <c r="J16" t="b">
        <f>B16&lt;E16</f>
        <v>1</v>
      </c>
    </row>
    <row r="17" spans="1:10" x14ac:dyDescent="0.25">
      <c r="A17">
        <v>800000</v>
      </c>
      <c r="B17">
        <v>1255161</v>
      </c>
      <c r="C17">
        <f t="shared" si="0"/>
        <v>4878959.5492126709</v>
      </c>
      <c r="D17">
        <f t="shared" si="1"/>
        <v>0.25725997261087113</v>
      </c>
      <c r="E17" s="2">
        <f>$H$7*A17*LOG(A17)</f>
        <v>2029663.4123142604</v>
      </c>
      <c r="J17" t="b">
        <f>B17&lt;E17</f>
        <v>1</v>
      </c>
    </row>
    <row r="18" spans="1:10" x14ac:dyDescent="0.25">
      <c r="A18">
        <v>850000</v>
      </c>
      <c r="B18">
        <v>1411046</v>
      </c>
      <c r="C18">
        <f t="shared" si="0"/>
        <v>5227109.9961613948</v>
      </c>
      <c r="D18">
        <f t="shared" si="1"/>
        <v>0.2699476385681997</v>
      </c>
      <c r="E18" s="2">
        <f>$H$7*A18*LOG(A18)</f>
        <v>2166135.8658933071</v>
      </c>
      <c r="J18" t="b">
        <f>B18&lt;E18</f>
        <v>1</v>
      </c>
    </row>
    <row r="19" spans="1:10" x14ac:dyDescent="0.25">
      <c r="A19">
        <v>900000</v>
      </c>
      <c r="B19">
        <v>1578218</v>
      </c>
      <c r="C19">
        <f t="shared" si="0"/>
        <v>5578350.2930875365</v>
      </c>
      <c r="D19">
        <f t="shared" si="1"/>
        <v>0.28291841083477015</v>
      </c>
      <c r="E19" s="2">
        <f>$H$7*A19*LOG(A19)</f>
        <v>2303157.6209403472</v>
      </c>
      <c r="J19" t="b">
        <f>B19&lt;E19</f>
        <v>1</v>
      </c>
    </row>
    <row r="20" spans="1:10" x14ac:dyDescent="0.25">
      <c r="A20">
        <v>950000</v>
      </c>
      <c r="B20">
        <v>1752826</v>
      </c>
      <c r="C20">
        <f t="shared" si="0"/>
        <v>5931551.8662440861</v>
      </c>
      <c r="D20">
        <f t="shared" si="1"/>
        <v>0.29550883807914941</v>
      </c>
      <c r="E20" s="2">
        <f>$H$7*A20*LOG(A20)</f>
        <v>2440698.1283217673</v>
      </c>
      <c r="J20" t="b">
        <f>B20&lt;E20</f>
        <v>1</v>
      </c>
    </row>
    <row r="21" spans="1:10" x14ac:dyDescent="0.25">
      <c r="A21">
        <v>1000000</v>
      </c>
      <c r="B21">
        <v>1938471</v>
      </c>
      <c r="C21">
        <f t="shared" si="0"/>
        <v>6287459.308240219</v>
      </c>
      <c r="D21">
        <f t="shared" si="1"/>
        <v>0.30830752215914597</v>
      </c>
      <c r="E21" s="2">
        <f>$H$7*A21*LOG(A21)</f>
        <v>2578730.0593250683</v>
      </c>
      <c r="J21" t="b">
        <f>B21&lt;E21</f>
        <v>1</v>
      </c>
    </row>
    <row r="22" spans="1:10" x14ac:dyDescent="0.25">
      <c r="A22">
        <v>1050000</v>
      </c>
      <c r="B22">
        <v>2129719</v>
      </c>
      <c r="C22">
        <f t="shared" si="0"/>
        <v>6644738.4206811143</v>
      </c>
      <c r="D22">
        <f t="shared" si="1"/>
        <v>0.32051209019326521</v>
      </c>
      <c r="E22" s="2">
        <f>$H$7*A22*LOG(A22)</f>
        <v>2717228.8217196655</v>
      </c>
      <c r="J22" t="b">
        <f>B22&lt;E22</f>
        <v>1</v>
      </c>
    </row>
    <row r="23" spans="1:10" x14ac:dyDescent="0.25">
      <c r="A23">
        <v>1100000</v>
      </c>
      <c r="B23">
        <v>2332406</v>
      </c>
      <c r="C23">
        <f t="shared" si="0"/>
        <v>7004584.5649468601</v>
      </c>
      <c r="D23">
        <f t="shared" si="1"/>
        <v>0.33298277412083677</v>
      </c>
      <c r="E23" s="2">
        <f>$H$7*A23*LOG(A23)</f>
        <v>2856172.1681907526</v>
      </c>
      <c r="J23" t="b">
        <f>B23&lt;E23</f>
        <v>1</v>
      </c>
    </row>
    <row r="24" spans="1:10" x14ac:dyDescent="0.25">
      <c r="A24">
        <v>1150000</v>
      </c>
      <c r="B24">
        <v>2548770</v>
      </c>
      <c r="C24">
        <f t="shared" si="0"/>
        <v>7367280.2436757851</v>
      </c>
      <c r="D24">
        <f t="shared" si="1"/>
        <v>0.34595806263619644</v>
      </c>
      <c r="E24" s="2">
        <f>$H$7*A24*LOG(A24)</f>
        <v>2995539.8761028904</v>
      </c>
      <c r="J24" t="b">
        <f>B24&lt;E24</f>
        <v>1</v>
      </c>
    </row>
    <row r="25" spans="1:10" x14ac:dyDescent="0.25">
      <c r="A25">
        <v>1200000</v>
      </c>
      <c r="B25">
        <v>2763285</v>
      </c>
      <c r="C25">
        <f t="shared" si="0"/>
        <v>7729710.8154477915</v>
      </c>
      <c r="D25">
        <f t="shared" si="1"/>
        <v>0.35748879433853953</v>
      </c>
      <c r="E25" s="2">
        <f>$H$7*A25*LOG(A25)</f>
        <v>3135313.483053647</v>
      </c>
      <c r="J25" t="b">
        <f>B25&lt;E25</f>
        <v>1</v>
      </c>
    </row>
    <row r="26" spans="1:10" x14ac:dyDescent="0.25">
      <c r="A26">
        <v>1250000</v>
      </c>
      <c r="B26">
        <v>2989628</v>
      </c>
      <c r="C26">
        <f t="shared" si="0"/>
        <v>8094521.4404230248</v>
      </c>
      <c r="D26">
        <f t="shared" si="1"/>
        <v>0.36933968511963816</v>
      </c>
      <c r="E26" s="2">
        <f>$H$7*A26*LOG(A26)</f>
        <v>3275476.0665716394</v>
      </c>
      <c r="J26" t="b">
        <f>B26&lt;E26</f>
        <v>1</v>
      </c>
    </row>
    <row r="27" spans="1:10" x14ac:dyDescent="0.25">
      <c r="A27">
        <v>1300000</v>
      </c>
      <c r="B27">
        <v>3226899</v>
      </c>
      <c r="C27">
        <f t="shared" si="0"/>
        <v>8461420.9841983467</v>
      </c>
      <c r="D27">
        <f t="shared" si="1"/>
        <v>0.38136608567594199</v>
      </c>
      <c r="E27" s="2">
        <f>$H$7*A27*LOG(A27)</f>
        <v>3416012.059114269</v>
      </c>
      <c r="J27" t="b">
        <f>B27&lt;E27</f>
        <v>1</v>
      </c>
    </row>
    <row r="28" spans="1:10" x14ac:dyDescent="0.25">
      <c r="A28">
        <v>1350000</v>
      </c>
      <c r="B28">
        <v>3473608</v>
      </c>
      <c r="C28">
        <f t="shared" si="0"/>
        <v>8830054.0885411706</v>
      </c>
      <c r="D28">
        <f t="shared" si="1"/>
        <v>0.39338467977310898</v>
      </c>
      <c r="E28" s="2">
        <f>$H$7*A28*LOG(A28)</f>
        <v>3556907.0915655596</v>
      </c>
      <c r="J28" t="b">
        <f>B28&lt;E28</f>
        <v>1</v>
      </c>
    </row>
    <row r="29" spans="1:10" x14ac:dyDescent="0.25">
      <c r="A29">
        <v>1400000</v>
      </c>
      <c r="B29">
        <v>3728991</v>
      </c>
      <c r="C29">
        <f t="shared" si="0"/>
        <v>9200227.869256895</v>
      </c>
      <c r="D29">
        <f t="shared" si="1"/>
        <v>0.40531506969089798</v>
      </c>
      <c r="E29" s="2">
        <f>$H$7*A29*LOG(A29)</f>
        <v>3698147.8599482686</v>
      </c>
      <c r="J29" t="b">
        <f>B29&lt;E29</f>
        <v>0</v>
      </c>
    </row>
    <row r="30" spans="1:10" x14ac:dyDescent="0.25">
      <c r="A30">
        <v>1450000</v>
      </c>
      <c r="B30">
        <v>3997241</v>
      </c>
      <c r="C30">
        <f t="shared" si="0"/>
        <v>9572552.4833613299</v>
      </c>
      <c r="D30">
        <f t="shared" si="1"/>
        <v>0.41757316107149706</v>
      </c>
      <c r="E30" s="2">
        <f>$H$7*A30*LOG(A30)</f>
        <v>3839722.0111990189</v>
      </c>
      <c r="J30" t="b">
        <f>B30&lt;E30</f>
        <v>0</v>
      </c>
    </row>
    <row r="31" spans="1:10" x14ac:dyDescent="0.25">
      <c r="A31">
        <v>1500000</v>
      </c>
      <c r="B31">
        <v>4272128</v>
      </c>
      <c r="C31">
        <f t="shared" si="0"/>
        <v>9945966.3845914584</v>
      </c>
      <c r="D31">
        <f t="shared" si="1"/>
        <v>0.42953372601565276</v>
      </c>
      <c r="E31" s="2">
        <f>$H$7*A31*LOG(A31)</f>
        <v>3981618.0447154241</v>
      </c>
      <c r="J31" t="b">
        <f>B31&lt;E31</f>
        <v>0</v>
      </c>
    </row>
    <row r="32" spans="1:10" x14ac:dyDescent="0.25">
      <c r="A32">
        <v>1550000</v>
      </c>
      <c r="B32">
        <v>4553005</v>
      </c>
      <c r="C32">
        <f t="shared" si="0"/>
        <v>10320362.097222233</v>
      </c>
      <c r="D32">
        <f t="shared" si="1"/>
        <v>0.44116717583247</v>
      </c>
      <c r="E32" s="2">
        <f>$H$7*A32*LOG(A32)</f>
        <v>4123825.2270433367</v>
      </c>
      <c r="J32" t="b">
        <f>B32&lt;E32</f>
        <v>0</v>
      </c>
    </row>
    <row r="33" spans="1:10" x14ac:dyDescent="0.25">
      <c r="A33">
        <v>1600000</v>
      </c>
      <c r="B33">
        <v>4862293</v>
      </c>
      <c r="C33">
        <f t="shared" si="0"/>
        <v>10698945.801156307</v>
      </c>
      <c r="D33">
        <f t="shared" si="1"/>
        <v>0.45446468188244299</v>
      </c>
      <c r="E33" s="2">
        <f>$H$7*A33*LOG(A33)</f>
        <v>4266333.5175824417</v>
      </c>
      <c r="J33" t="b">
        <f>B33&lt;E33</f>
        <v>0</v>
      </c>
    </row>
    <row r="34" spans="1:10" x14ac:dyDescent="0.25">
      <c r="A34">
        <v>1650000</v>
      </c>
      <c r="B34">
        <v>5176991</v>
      </c>
      <c r="C34">
        <f t="shared" si="0"/>
        <v>11078227.726464091</v>
      </c>
      <c r="D34">
        <f t="shared" si="1"/>
        <v>0.46731220262181533</v>
      </c>
      <c r="E34" s="2">
        <f>$H$7*A34*LOG(A34)</f>
        <v>4409133.5035867319</v>
      </c>
      <c r="J34" t="b">
        <f>B34&lt;E34</f>
        <v>0</v>
      </c>
    </row>
    <row r="35" spans="1:10" x14ac:dyDescent="0.25">
      <c r="A35">
        <v>1700000</v>
      </c>
      <c r="B35">
        <v>5502572</v>
      </c>
      <c r="C35">
        <f t="shared" si="0"/>
        <v>11458961.747655043</v>
      </c>
      <c r="D35">
        <f t="shared" si="1"/>
        <v>0.48019812974120835</v>
      </c>
      <c r="E35" s="2">
        <f>$H$7*A35*LOG(A35)</f>
        <v>4552216.3430501549</v>
      </c>
      <c r="J35" t="b">
        <f>B35&lt;E35</f>
        <v>0</v>
      </c>
    </row>
    <row r="36" spans="1:10" x14ac:dyDescent="0.25">
      <c r="A36">
        <v>1750000</v>
      </c>
      <c r="B36">
        <v>5813993</v>
      </c>
      <c r="C36">
        <f t="shared" si="0"/>
        <v>11837830.382958511</v>
      </c>
      <c r="D36">
        <f t="shared" si="1"/>
        <v>0.49113670427054784</v>
      </c>
      <c r="E36" s="2">
        <f>$H$7*A36*LOG(A36)</f>
        <v>4695573.7143167611</v>
      </c>
      <c r="J36" t="b">
        <f>B36&lt;E36</f>
        <v>0</v>
      </c>
    </row>
    <row r="37" spans="1:10" x14ac:dyDescent="0.25">
      <c r="A37">
        <v>1800000</v>
      </c>
      <c r="B37">
        <v>6154693</v>
      </c>
      <c r="C37">
        <f t="shared" si="0"/>
        <v>12220571.510860885</v>
      </c>
      <c r="D37">
        <f t="shared" si="1"/>
        <v>0.50363381078618874</v>
      </c>
      <c r="E37" s="2">
        <f>$H$7*A37*LOG(A37)</f>
        <v>4839197.7714538556</v>
      </c>
      <c r="J37" t="b">
        <f>B37&lt;E37</f>
        <v>0</v>
      </c>
    </row>
    <row r="38" spans="1:10" x14ac:dyDescent="0.25">
      <c r="A38">
        <v>1850000</v>
      </c>
      <c r="B38">
        <v>6477314</v>
      </c>
      <c r="C38">
        <f t="shared" si="0"/>
        <v>12601080.658993816</v>
      </c>
      <c r="D38">
        <f t="shared" si="1"/>
        <v>0.51402845321658364</v>
      </c>
      <c r="E38" s="2">
        <f>$H$7*A38*LOG(A38)</f>
        <v>4983081.1045870716</v>
      </c>
      <c r="J38" t="b">
        <f>B38&lt;E38</f>
        <v>0</v>
      </c>
    </row>
    <row r="39" spans="1:10" x14ac:dyDescent="0.25">
      <c r="A39">
        <v>1900000</v>
      </c>
      <c r="B39">
        <v>6834824</v>
      </c>
      <c r="C39">
        <f t="shared" si="0"/>
        <v>12985981.937937111</v>
      </c>
      <c r="D39">
        <f t="shared" si="1"/>
        <v>0.5263232332114075</v>
      </c>
      <c r="E39" s="2">
        <f>$H$7*A39*LOG(A39)</f>
        <v>5127216.7045263154</v>
      </c>
      <c r="J39" t="b">
        <f>B39&lt;E39</f>
        <v>0</v>
      </c>
    </row>
    <row r="40" spans="1:10" x14ac:dyDescent="0.25">
      <c r="A40">
        <v>1950000</v>
      </c>
      <c r="B40">
        <v>7174399</v>
      </c>
      <c r="C40">
        <f t="shared" si="0"/>
        <v>13368781.775787646</v>
      </c>
      <c r="D40">
        <f t="shared" si="1"/>
        <v>0.53665316109756811</v>
      </c>
      <c r="E40" s="2">
        <f>$H$7*A40*LOG(A40)</f>
        <v>5271597.93111757</v>
      </c>
      <c r="J40" t="b">
        <f>B40&lt;E40</f>
        <v>0</v>
      </c>
    </row>
    <row r="41" spans="1:10" x14ac:dyDescent="0.25">
      <c r="A41">
        <v>2000000</v>
      </c>
      <c r="B41">
        <v>7533275</v>
      </c>
      <c r="C41">
        <f t="shared" si="0"/>
        <v>13753967.643029938</v>
      </c>
      <c r="D41">
        <f t="shared" si="1"/>
        <v>0.547716498651036</v>
      </c>
      <c r="E41" s="2">
        <f>$H$7*A41*LOG(A41)</f>
        <v>5416218.4848425379</v>
      </c>
      <c r="J41" t="b">
        <f>B41&lt;E41</f>
        <v>0</v>
      </c>
    </row>
    <row r="42" spans="1:10" x14ac:dyDescent="0.25">
      <c r="A42">
        <v>2050000</v>
      </c>
      <c r="B42">
        <v>7932100</v>
      </c>
      <c r="C42">
        <f t="shared" si="0"/>
        <v>14143745.770474255</v>
      </c>
      <c r="D42">
        <f t="shared" si="1"/>
        <v>0.56082031794990528</v>
      </c>
      <c r="E42" s="2">
        <f>$H$7*A42*LOG(A42)</f>
        <v>5561072.3812598912</v>
      </c>
      <c r="J42" t="b">
        <f>B42&lt;E42</f>
        <v>0</v>
      </c>
    </row>
    <row r="43" spans="1:10" x14ac:dyDescent="0.25">
      <c r="A43">
        <v>2100000</v>
      </c>
      <c r="B43">
        <v>8344549</v>
      </c>
      <c r="C43">
        <f t="shared" si="0"/>
        <v>14534946.025368849</v>
      </c>
      <c r="D43">
        <f t="shared" si="1"/>
        <v>0.57410251028353876</v>
      </c>
      <c r="E43" s="2">
        <f>$H$7*A43*LOG(A43)</f>
        <v>5706153.9279413521</v>
      </c>
      <c r="J43" t="b">
        <f>B43&lt;E43</f>
        <v>0</v>
      </c>
    </row>
    <row r="44" spans="1:10" x14ac:dyDescent="0.25">
      <c r="A44">
        <v>2150000</v>
      </c>
      <c r="B44">
        <v>8729052</v>
      </c>
      <c r="C44">
        <f t="shared" si="0"/>
        <v>14923079.22338533</v>
      </c>
      <c r="D44">
        <f t="shared" si="1"/>
        <v>0.5849363840621491</v>
      </c>
      <c r="E44" s="2">
        <f>$H$7*A44*LOG(A44)</f>
        <v>5851457.7036054339</v>
      </c>
      <c r="J44" t="b">
        <f>B44&lt;E44</f>
        <v>0</v>
      </c>
    </row>
    <row r="45" spans="1:10" x14ac:dyDescent="0.25">
      <c r="A45">
        <v>2200000</v>
      </c>
      <c r="B45">
        <v>9138051</v>
      </c>
      <c r="C45">
        <f t="shared" si="0"/>
        <v>15313877.870608885</v>
      </c>
      <c r="D45">
        <f t="shared" si="1"/>
        <v>0.59671698293599285</v>
      </c>
      <c r="E45" s="2">
        <f>$H$7*A45*LOG(A45)</f>
        <v>5996978.5391931469</v>
      </c>
      <c r="J45" t="b">
        <f>B45&lt;E45</f>
        <v>0</v>
      </c>
    </row>
    <row r="46" spans="1:10" x14ac:dyDescent="0.25">
      <c r="A46">
        <v>2250000</v>
      </c>
      <c r="B46">
        <v>9541171</v>
      </c>
      <c r="C46">
        <f t="shared" si="0"/>
        <v>15704103.77884577</v>
      </c>
      <c r="D46">
        <f t="shared" si="1"/>
        <v>0.60755908992733765</v>
      </c>
      <c r="E46" s="2">
        <f>$H$7*A46*LOG(A46)</f>
        <v>6142711.5006648665</v>
      </c>
      <c r="J46" t="b">
        <f>B46&lt;E46</f>
        <v>0</v>
      </c>
    </row>
    <row r="47" spans="1:10" x14ac:dyDescent="0.25">
      <c r="A47">
        <v>2300000</v>
      </c>
      <c r="B47">
        <v>9947608</v>
      </c>
      <c r="C47">
        <f t="shared" si="0"/>
        <v>16094752.924733693</v>
      </c>
      <c r="D47">
        <f t="shared" si="1"/>
        <v>0.61806528168027752</v>
      </c>
      <c r="E47" s="2">
        <f>$H$7*A47*LOG(A47)</f>
        <v>6288651.873327042</v>
      </c>
      <c r="J47" t="b">
        <f>B47&lt;E47</f>
        <v>0</v>
      </c>
    </row>
    <row r="48" spans="1:10" x14ac:dyDescent="0.25">
      <c r="A48">
        <v>2350000</v>
      </c>
      <c r="B48">
        <v>10401075</v>
      </c>
      <c r="C48">
        <f t="shared" si="0"/>
        <v>16490133.835788274</v>
      </c>
      <c r="D48">
        <f t="shared" si="1"/>
        <v>0.6307453355791881</v>
      </c>
      <c r="E48" s="2">
        <f>$H$7*A48*LOG(A48)</f>
        <v>6434795.1475223452</v>
      </c>
      <c r="J48" t="b">
        <f>B48&lt;E48</f>
        <v>0</v>
      </c>
    </row>
    <row r="49" spans="1:10" x14ac:dyDescent="0.25">
      <c r="A49">
        <v>2400000</v>
      </c>
      <c r="B49">
        <v>10849916</v>
      </c>
      <c r="C49">
        <f t="shared" si="0"/>
        <v>16885023.302140016</v>
      </c>
      <c r="D49">
        <f t="shared" si="1"/>
        <v>0.64257631190979025</v>
      </c>
      <c r="E49" s="2">
        <f>$H$7*A49*LOG(A49)</f>
        <v>6581137.0055381758</v>
      </c>
      <c r="J49" t="b">
        <f>B49&lt;E49</f>
        <v>0</v>
      </c>
    </row>
    <row r="50" spans="1:10" x14ac:dyDescent="0.25">
      <c r="A50">
        <v>2450000</v>
      </c>
      <c r="B50">
        <v>11339930</v>
      </c>
      <c r="C50">
        <f t="shared" si="0"/>
        <v>17283795.415610272</v>
      </c>
      <c r="D50">
        <f t="shared" si="1"/>
        <v>0.65610184148315431</v>
      </c>
      <c r="E50" s="2">
        <f>$H$7*A50*LOG(A50)</f>
        <v>6727673.3096065186</v>
      </c>
      <c r="J50" t="b">
        <f>B50&lt;E50</f>
        <v>0</v>
      </c>
    </row>
    <row r="51" spans="1:10" x14ac:dyDescent="0.25">
      <c r="A51">
        <v>2500000</v>
      </c>
      <c r="B51">
        <v>11772204</v>
      </c>
      <c r="C51">
        <f t="shared" si="0"/>
        <v>17677144.448406402</v>
      </c>
      <c r="D51">
        <f t="shared" si="1"/>
        <v>0.66595620318423465</v>
      </c>
      <c r="E51" s="2">
        <f>$H$7*A51*LOG(A51)</f>
        <v>6874400.0908837803</v>
      </c>
      <c r="J51" t="b">
        <f>B51&lt;E51</f>
        <v>0</v>
      </c>
    </row>
    <row r="52" spans="1:10" x14ac:dyDescent="0.25">
      <c r="A52">
        <v>2550000</v>
      </c>
      <c r="B52">
        <v>12212079</v>
      </c>
      <c r="C52">
        <f t="shared" si="0"/>
        <v>18071313.492976651</v>
      </c>
      <c r="D52">
        <f t="shared" si="1"/>
        <v>0.67577152068919499</v>
      </c>
      <c r="E52" s="2">
        <f>$H$7*A52*LOG(A52)</f>
        <v>7021313.5393125275</v>
      </c>
      <c r="J52" t="b">
        <f>B52&lt;E52</f>
        <v>0</v>
      </c>
    </row>
    <row r="53" spans="1:10" x14ac:dyDescent="0.25">
      <c r="A53">
        <v>2600000</v>
      </c>
      <c r="B53">
        <v>12702154</v>
      </c>
      <c r="C53">
        <f t="shared" si="0"/>
        <v>18470081.171853963</v>
      </c>
      <c r="D53">
        <f t="shared" si="1"/>
        <v>0.68771511515371442</v>
      </c>
      <c r="E53" s="2">
        <f>$H$7*A53*LOG(A53)</f>
        <v>7168409.9942786591</v>
      </c>
      <c r="J53" t="b">
        <f>B53&lt;E53</f>
        <v>0</v>
      </c>
    </row>
    <row r="54" spans="1:10" x14ac:dyDescent="0.25">
      <c r="A54">
        <v>2650000</v>
      </c>
      <c r="B54">
        <v>13193413</v>
      </c>
      <c r="C54">
        <f t="shared" si="0"/>
        <v>18868946.467608206</v>
      </c>
      <c r="D54">
        <f t="shared" si="1"/>
        <v>0.69921301767688848</v>
      </c>
      <c r="E54" s="2">
        <f>$H$7*A54*LOG(A54)</f>
        <v>7315685.9359874828</v>
      </c>
      <c r="J54" t="b">
        <f>B54&lt;E54</f>
        <v>0</v>
      </c>
    </row>
    <row r="55" spans="1:10" x14ac:dyDescent="0.25">
      <c r="A55">
        <v>2700000</v>
      </c>
      <c r="B55">
        <v>13680825</v>
      </c>
      <c r="C55">
        <f t="shared" si="0"/>
        <v>19267503.176518157</v>
      </c>
      <c r="D55">
        <f t="shared" si="1"/>
        <v>0.71004659372124579</v>
      </c>
      <c r="E55" s="2">
        <f>$H$7*A55*LOG(A55)</f>
        <v>7463137.97749086</v>
      </c>
      <c r="J55" t="b">
        <f>B55&lt;E55</f>
        <v>0</v>
      </c>
    </row>
    <row r="56" spans="1:10" x14ac:dyDescent="0.25">
      <c r="A56">
        <v>2750000</v>
      </c>
      <c r="B56">
        <v>14173364</v>
      </c>
      <c r="C56">
        <f t="shared" si="0"/>
        <v>19666550.587222546</v>
      </c>
      <c r="D56">
        <f t="shared" si="1"/>
        <v>0.72068377914775272</v>
      </c>
      <c r="E56" s="2">
        <f>$H$7*A56*LOG(A56)</f>
        <v>7610762.8573051021</v>
      </c>
      <c r="J56" t="b">
        <f>B56&lt;E56</f>
        <v>0</v>
      </c>
    </row>
    <row r="57" spans="1:10" x14ac:dyDescent="0.25">
      <c r="A57">
        <v>2800000</v>
      </c>
      <c r="B57">
        <v>14691801</v>
      </c>
      <c r="C57">
        <f t="shared" si="0"/>
        <v>20067810.104180939</v>
      </c>
      <c r="D57">
        <f t="shared" si="1"/>
        <v>0.73210783457329509</v>
      </c>
      <c r="E57" s="2">
        <f>$H$7*A57*LOG(A57)</f>
        <v>7758557.4325658996</v>
      </c>
      <c r="J57" t="b">
        <f>B57&lt;E57</f>
        <v>0</v>
      </c>
    </row>
    <row r="58" spans="1:10" x14ac:dyDescent="0.25">
      <c r="A58">
        <v>2850000</v>
      </c>
      <c r="B58">
        <v>15205308</v>
      </c>
      <c r="C58">
        <f t="shared" si="0"/>
        <v>20468686.381773371</v>
      </c>
      <c r="D58">
        <f t="shared" si="1"/>
        <v>0.74285705083350051</v>
      </c>
      <c r="E58" s="2">
        <f>$H$7*A58*LOG(A58)</f>
        <v>7906518.6726723332</v>
      </c>
      <c r="J58" t="b">
        <f>B58&lt;E58</f>
        <v>0</v>
      </c>
    </row>
    <row r="59" spans="1:10" x14ac:dyDescent="0.25">
      <c r="A59">
        <v>2900000</v>
      </c>
      <c r="B59">
        <v>15733416</v>
      </c>
      <c r="C59">
        <f t="shared" si="0"/>
        <v>20870786.774804603</v>
      </c>
      <c r="D59">
        <f t="shared" si="1"/>
        <v>0.75384872500319522</v>
      </c>
      <c r="E59" s="2">
        <f>$H$7*A59*LOG(A59)</f>
        <v>8054643.6533770198</v>
      </c>
      <c r="J59" t="b">
        <f>B59&lt;E59</f>
        <v>0</v>
      </c>
    </row>
    <row r="60" spans="1:10" x14ac:dyDescent="0.25">
      <c r="A60">
        <v>2950000</v>
      </c>
      <c r="B60">
        <v>16236852</v>
      </c>
      <c r="C60">
        <f t="shared" si="0"/>
        <v>21270980.404622868</v>
      </c>
      <c r="D60">
        <f t="shared" si="1"/>
        <v>0.7633335037284511</v>
      </c>
      <c r="E60" s="2">
        <f>$H$7*A60*LOG(A60)</f>
        <v>8202929.5512839518</v>
      </c>
      <c r="J60" t="b">
        <f>B60&lt;E60</f>
        <v>0</v>
      </c>
    </row>
    <row r="61" spans="1:10" x14ac:dyDescent="0.25">
      <c r="A61">
        <v>3000000</v>
      </c>
      <c r="B61">
        <v>16779697</v>
      </c>
      <c r="C61">
        <f t="shared" si="0"/>
        <v>21674352.342824388</v>
      </c>
      <c r="D61">
        <f t="shared" si="1"/>
        <v>0.77417293650092223</v>
      </c>
      <c r="E61" s="2">
        <f>$H$7*A61*LOG(A61)</f>
        <v>8351373.6387194498</v>
      </c>
      <c r="J61" t="b">
        <f>B61&lt;E61</f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468E-E207-431C-99C6-C273AEA2FD8F}">
  <dimension ref="A1:I36"/>
  <sheetViews>
    <sheetView tabSelected="1" workbookViewId="0">
      <selection activeCell="K34" sqref="K34"/>
    </sheetView>
  </sheetViews>
  <sheetFormatPr baseColWidth="10" defaultRowHeight="15" x14ac:dyDescent="0.25"/>
  <cols>
    <col min="2" max="2" width="17.7109375" customWidth="1"/>
    <col min="3" max="3" width="27.140625" customWidth="1"/>
    <col min="4" max="4" width="25.5703125" customWidth="1"/>
    <col min="9" max="9" width="19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7</v>
      </c>
    </row>
    <row r="2" spans="1:9" x14ac:dyDescent="0.25">
      <c r="A2">
        <v>1000</v>
      </c>
      <c r="B2">
        <v>76</v>
      </c>
      <c r="C2">
        <f>B2/(A2*LOG10(A2))</f>
        <v>2.5333333333333333E-2</v>
      </c>
      <c r="D2">
        <f t="shared" ref="D2:D36" si="0">$G$7*A2*LOG(A2)</f>
        <v>80.762361725624203</v>
      </c>
      <c r="I2" t="b">
        <f t="shared" ref="I2:I36" si="1">B2&lt;D2</f>
        <v>1</v>
      </c>
    </row>
    <row r="3" spans="1:9" x14ac:dyDescent="0.25">
      <c r="A3">
        <v>2000</v>
      </c>
      <c r="B3">
        <v>167</v>
      </c>
      <c r="C3">
        <f t="shared" ref="C3:C36" si="2">B3/(A3*LOG10(A3))</f>
        <v>2.5295135188011072E-2</v>
      </c>
      <c r="D3">
        <f t="shared" si="0"/>
        <v>177.73265238463344</v>
      </c>
      <c r="I3" t="b">
        <f t="shared" si="1"/>
        <v>1</v>
      </c>
    </row>
    <row r="4" spans="1:9" x14ac:dyDescent="0.25">
      <c r="A4">
        <v>3000</v>
      </c>
      <c r="B4">
        <v>267</v>
      </c>
      <c r="C4">
        <f t="shared" si="2"/>
        <v>2.5595886217426572E-2</v>
      </c>
      <c r="D4">
        <f t="shared" si="0"/>
        <v>280.82052453752567</v>
      </c>
      <c r="I4" t="b">
        <f t="shared" si="1"/>
        <v>1</v>
      </c>
    </row>
    <row r="5" spans="1:9" x14ac:dyDescent="0.25">
      <c r="A5">
        <v>4000</v>
      </c>
      <c r="B5">
        <v>353</v>
      </c>
      <c r="C5">
        <f t="shared" si="2"/>
        <v>2.4499869578092477E-2</v>
      </c>
      <c r="D5">
        <f t="shared" si="0"/>
        <v>387.88116263603689</v>
      </c>
      <c r="I5" t="b">
        <f t="shared" si="1"/>
        <v>1</v>
      </c>
    </row>
    <row r="6" spans="1:9" x14ac:dyDescent="0.25">
      <c r="A6">
        <v>5000</v>
      </c>
      <c r="B6">
        <v>475</v>
      </c>
      <c r="C6">
        <f t="shared" si="2"/>
        <v>2.5682825188806286E-2</v>
      </c>
      <c r="D6">
        <f t="shared" si="0"/>
        <v>497.89592250403211</v>
      </c>
      <c r="I6" t="b">
        <f t="shared" si="1"/>
        <v>1</v>
      </c>
    </row>
    <row r="7" spans="1:9" x14ac:dyDescent="0.25">
      <c r="A7">
        <v>6000</v>
      </c>
      <c r="B7">
        <v>579</v>
      </c>
      <c r="C7">
        <f t="shared" si="2"/>
        <v>2.5541592595108822E-2</v>
      </c>
      <c r="D7">
        <f t="shared" si="0"/>
        <v>610.26483587520636</v>
      </c>
      <c r="F7" s="1" t="s">
        <v>5</v>
      </c>
      <c r="G7">
        <f>AVERAGE(C2:C20)</f>
        <v>2.6920787241874734E-2</v>
      </c>
      <c r="I7" t="b">
        <f t="shared" si="1"/>
        <v>1</v>
      </c>
    </row>
    <row r="8" spans="1:9" x14ac:dyDescent="0.25">
      <c r="A8">
        <v>7000</v>
      </c>
      <c r="B8">
        <v>701</v>
      </c>
      <c r="C8">
        <f t="shared" si="2"/>
        <v>2.6044292265298346E-2</v>
      </c>
      <c r="D8">
        <f t="shared" si="0"/>
        <v>724.59146381561345</v>
      </c>
      <c r="I8" t="b">
        <f t="shared" si="1"/>
        <v>1</v>
      </c>
    </row>
    <row r="9" spans="1:9" x14ac:dyDescent="0.25">
      <c r="A9">
        <v>8000</v>
      </c>
      <c r="B9">
        <v>805</v>
      </c>
      <c r="C9">
        <f t="shared" si="2"/>
        <v>2.5780855766933074E-2</v>
      </c>
      <c r="D9">
        <f t="shared" si="0"/>
        <v>840.59404100561392</v>
      </c>
      <c r="I9" t="b">
        <f t="shared" si="1"/>
        <v>1</v>
      </c>
    </row>
    <row r="10" spans="1:9" x14ac:dyDescent="0.25">
      <c r="A10">
        <v>9000</v>
      </c>
      <c r="B10">
        <v>980</v>
      </c>
      <c r="C10">
        <f t="shared" si="2"/>
        <v>2.7537230867594999E-2</v>
      </c>
      <c r="D10">
        <f t="shared" si="0"/>
        <v>958.06189169453614</v>
      </c>
      <c r="I10" t="b">
        <f t="shared" si="1"/>
        <v>0</v>
      </c>
    </row>
    <row r="11" spans="1:9" x14ac:dyDescent="0.25">
      <c r="A11">
        <v>10000</v>
      </c>
      <c r="B11">
        <v>1100</v>
      </c>
      <c r="C11">
        <f t="shared" si="2"/>
        <v>2.75E-2</v>
      </c>
      <c r="D11">
        <f t="shared" si="0"/>
        <v>1076.8314896749894</v>
      </c>
      <c r="I11" t="b">
        <f t="shared" si="1"/>
        <v>0</v>
      </c>
    </row>
    <row r="12" spans="1:9" x14ac:dyDescent="0.25">
      <c r="A12">
        <v>11000</v>
      </c>
      <c r="B12">
        <v>1173</v>
      </c>
      <c r="C12">
        <f t="shared" si="2"/>
        <v>2.6386043610159279E-2</v>
      </c>
      <c r="D12">
        <f t="shared" si="0"/>
        <v>1196.7721990181476</v>
      </c>
      <c r="I12" t="b">
        <f t="shared" si="1"/>
        <v>1</v>
      </c>
    </row>
    <row r="13" spans="1:9" x14ac:dyDescent="0.25">
      <c r="A13">
        <v>12000</v>
      </c>
      <c r="B13">
        <v>1324</v>
      </c>
      <c r="C13">
        <f t="shared" si="2"/>
        <v>2.7047911499455148E-2</v>
      </c>
      <c r="D13">
        <f t="shared" si="0"/>
        <v>1317.777245350723</v>
      </c>
      <c r="I13" t="b">
        <f t="shared" si="1"/>
        <v>0</v>
      </c>
    </row>
    <row r="14" spans="1:9" x14ac:dyDescent="0.25">
      <c r="A14">
        <v>13000</v>
      </c>
      <c r="B14">
        <v>1476</v>
      </c>
      <c r="C14">
        <f t="shared" si="2"/>
        <v>2.7598450395481602E-2</v>
      </c>
      <c r="D14">
        <f t="shared" si="0"/>
        <v>1439.7577182635046</v>
      </c>
      <c r="I14" t="b">
        <f t="shared" si="1"/>
        <v>0</v>
      </c>
    </row>
    <row r="15" spans="1:9" x14ac:dyDescent="0.25">
      <c r="A15">
        <v>14000</v>
      </c>
      <c r="B15">
        <v>1629</v>
      </c>
      <c r="C15">
        <f t="shared" si="2"/>
        <v>2.8064049603839295E-2</v>
      </c>
      <c r="D15">
        <f t="shared" si="0"/>
        <v>1562.6384301649221</v>
      </c>
      <c r="I15" t="b">
        <f t="shared" si="1"/>
        <v>0</v>
      </c>
    </row>
    <row r="16" spans="1:9" x14ac:dyDescent="0.25">
      <c r="A16">
        <v>15000</v>
      </c>
      <c r="B16">
        <v>1724</v>
      </c>
      <c r="C16">
        <f t="shared" si="2"/>
        <v>2.7521748497259284E-2</v>
      </c>
      <c r="D16">
        <f t="shared" si="0"/>
        <v>1686.3549643153617</v>
      </c>
      <c r="I16" t="b">
        <f>B16&lt;D16</f>
        <v>0</v>
      </c>
    </row>
    <row r="17" spans="1:9" x14ac:dyDescent="0.25">
      <c r="A17">
        <v>16000</v>
      </c>
      <c r="B17">
        <v>1944</v>
      </c>
      <c r="C17">
        <f t="shared" si="2"/>
        <v>2.8900221806524937E-2</v>
      </c>
      <c r="D17">
        <f t="shared" si="0"/>
        <v>1810.8515134783081</v>
      </c>
      <c r="I17" t="b">
        <f t="shared" si="1"/>
        <v>0</v>
      </c>
    </row>
    <row r="18" spans="1:9" x14ac:dyDescent="0.25">
      <c r="A18">
        <v>17000</v>
      </c>
      <c r="B18">
        <v>2094</v>
      </c>
      <c r="C18">
        <f t="shared" si="2"/>
        <v>2.9116642908929055E-2</v>
      </c>
      <c r="D18">
        <f t="shared" si="0"/>
        <v>1936.0792609507305</v>
      </c>
      <c r="I18" t="b">
        <f t="shared" si="1"/>
        <v>0</v>
      </c>
    </row>
    <row r="19" spans="1:9" x14ac:dyDescent="0.25">
      <c r="A19">
        <v>18000</v>
      </c>
      <c r="B19">
        <v>2202</v>
      </c>
      <c r="C19">
        <f t="shared" si="2"/>
        <v>2.8748648455914436E-2</v>
      </c>
      <c r="D19">
        <f t="shared" si="0"/>
        <v>2061.9951437895379</v>
      </c>
      <c r="I19" t="b">
        <f t="shared" si="1"/>
        <v>0</v>
      </c>
    </row>
    <row r="20" spans="1:9" x14ac:dyDescent="0.25">
      <c r="A20">
        <v>19000</v>
      </c>
      <c r="B20">
        <v>2382</v>
      </c>
      <c r="C20">
        <f t="shared" si="2"/>
        <v>2.9300219817451859E-2</v>
      </c>
      <c r="D20">
        <f t="shared" si="0"/>
        <v>2188.5608916814735</v>
      </c>
      <c r="I20" t="b">
        <f t="shared" si="1"/>
        <v>0</v>
      </c>
    </row>
    <row r="21" spans="1:9" x14ac:dyDescent="0.25">
      <c r="A21">
        <v>20000</v>
      </c>
      <c r="B21">
        <v>2673</v>
      </c>
      <c r="C21">
        <f t="shared" si="2"/>
        <v>3.1073952084672098E-2</v>
      </c>
      <c r="D21">
        <f t="shared" si="0"/>
        <v>2315.742268683829</v>
      </c>
      <c r="I21" t="b">
        <f t="shared" si="1"/>
        <v>0</v>
      </c>
    </row>
    <row r="22" spans="1:9" x14ac:dyDescent="0.25">
      <c r="A22">
        <v>21000</v>
      </c>
      <c r="B22">
        <v>2774</v>
      </c>
      <c r="C22">
        <f t="shared" si="2"/>
        <v>3.0561900979013148E-2</v>
      </c>
      <c r="D22">
        <f t="shared" si="0"/>
        <v>2443.5084669714115</v>
      </c>
      <c r="I22" t="b">
        <f t="shared" si="1"/>
        <v>0</v>
      </c>
    </row>
    <row r="23" spans="1:9" x14ac:dyDescent="0.25">
      <c r="A23">
        <v>22000</v>
      </c>
      <c r="B23">
        <v>2862</v>
      </c>
      <c r="C23">
        <f t="shared" si="2"/>
        <v>2.9958140571031956E-2</v>
      </c>
      <c r="D23">
        <f t="shared" si="0"/>
        <v>2571.8316163035306</v>
      </c>
      <c r="I23" t="b">
        <f t="shared" si="1"/>
        <v>0</v>
      </c>
    </row>
    <row r="24" spans="1:9" x14ac:dyDescent="0.25">
      <c r="A24">
        <v>23000</v>
      </c>
      <c r="B24">
        <v>3117</v>
      </c>
      <c r="C24">
        <f t="shared" si="2"/>
        <v>3.1070654617957726E-2</v>
      </c>
      <c r="D24">
        <f t="shared" si="0"/>
        <v>2700.6863828490227</v>
      </c>
      <c r="I24" t="b">
        <f t="shared" si="1"/>
        <v>0</v>
      </c>
    </row>
    <row r="25" spans="1:9" x14ac:dyDescent="0.25">
      <c r="A25">
        <v>24000</v>
      </c>
      <c r="B25">
        <v>3510</v>
      </c>
      <c r="C25">
        <f t="shared" si="2"/>
        <v>3.3388800660410958E-2</v>
      </c>
      <c r="D25">
        <f t="shared" si="0"/>
        <v>2830.0496379020665</v>
      </c>
      <c r="I25" t="b">
        <f t="shared" si="1"/>
        <v>0</v>
      </c>
    </row>
    <row r="26" spans="1:9" x14ac:dyDescent="0.25">
      <c r="A26">
        <v>25000</v>
      </c>
      <c r="B26">
        <v>3727</v>
      </c>
      <c r="C26">
        <f t="shared" si="2"/>
        <v>3.3897688396394218E-2</v>
      </c>
      <c r="D26">
        <f t="shared" si="0"/>
        <v>2959.9001818997158</v>
      </c>
      <c r="I26" t="b">
        <f t="shared" si="1"/>
        <v>0</v>
      </c>
    </row>
    <row r="27" spans="1:9" x14ac:dyDescent="0.25">
      <c r="A27">
        <v>26000</v>
      </c>
      <c r="B27">
        <v>3646</v>
      </c>
      <c r="C27">
        <f t="shared" si="2"/>
        <v>3.1762540377558837E-2</v>
      </c>
      <c r="D27">
        <f t="shared" si="0"/>
        <v>3090.2185126610143</v>
      </c>
      <c r="I27" t="b">
        <f t="shared" si="1"/>
        <v>0</v>
      </c>
    </row>
    <row r="28" spans="1:9" x14ac:dyDescent="0.25">
      <c r="A28">
        <v>27000</v>
      </c>
      <c r="B28">
        <v>3839</v>
      </c>
      <c r="C28">
        <f t="shared" si="2"/>
        <v>3.208610097306467E-2</v>
      </c>
      <c r="D28">
        <f t="shared" si="0"/>
        <v>3220.9866293294858</v>
      </c>
      <c r="I28" t="b">
        <f t="shared" si="1"/>
        <v>0</v>
      </c>
    </row>
    <row r="29" spans="1:9" x14ac:dyDescent="0.25">
      <c r="A29">
        <v>28000</v>
      </c>
      <c r="B29">
        <v>3927</v>
      </c>
      <c r="C29">
        <f t="shared" si="2"/>
        <v>3.1536994865386067E-2</v>
      </c>
      <c r="D29">
        <f t="shared" si="0"/>
        <v>3352.1878653972349</v>
      </c>
      <c r="I29" t="b">
        <f t="shared" si="1"/>
        <v>0</v>
      </c>
    </row>
    <row r="30" spans="1:9" x14ac:dyDescent="0.25">
      <c r="A30">
        <v>29000</v>
      </c>
      <c r="B30">
        <v>4354</v>
      </c>
      <c r="C30">
        <f t="shared" si="2"/>
        <v>3.3645123340673024E-2</v>
      </c>
      <c r="D30">
        <f t="shared" si="0"/>
        <v>3483.8067456101617</v>
      </c>
      <c r="I30" t="b">
        <f t="shared" si="1"/>
        <v>0</v>
      </c>
    </row>
    <row r="31" spans="1:9" x14ac:dyDescent="0.25">
      <c r="A31">
        <v>30000</v>
      </c>
      <c r="B31">
        <v>4414</v>
      </c>
      <c r="C31">
        <f t="shared" si="2"/>
        <v>3.2863379158701425E-2</v>
      </c>
      <c r="D31">
        <f t="shared" si="0"/>
        <v>3615.8288626314989</v>
      </c>
      <c r="I31" t="b">
        <f t="shared" si="1"/>
        <v>0</v>
      </c>
    </row>
    <row r="32" spans="1:9" x14ac:dyDescent="0.25">
      <c r="A32">
        <v>31000</v>
      </c>
      <c r="B32">
        <v>4738</v>
      </c>
      <c r="C32">
        <f t="shared" si="2"/>
        <v>3.4029481501620287E-2</v>
      </c>
      <c r="D32">
        <f t="shared" si="0"/>
        <v>3748.2407701665761</v>
      </c>
      <c r="I32" t="b">
        <f t="shared" si="1"/>
        <v>0</v>
      </c>
    </row>
    <row r="33" spans="1:9" x14ac:dyDescent="0.25">
      <c r="A33">
        <v>32000</v>
      </c>
      <c r="B33">
        <v>5350</v>
      </c>
      <c r="C33">
        <f t="shared" si="2"/>
        <v>3.7110307271579178E-2</v>
      </c>
      <c r="D33">
        <f t="shared" si="0"/>
        <v>3881.0298898907768</v>
      </c>
      <c r="I33" t="b">
        <f t="shared" si="1"/>
        <v>0</v>
      </c>
    </row>
    <row r="34" spans="1:9" x14ac:dyDescent="0.25">
      <c r="A34">
        <v>33000</v>
      </c>
      <c r="B34">
        <v>4988</v>
      </c>
      <c r="C34">
        <f t="shared" si="2"/>
        <v>3.3451598725310124E-2</v>
      </c>
      <c r="D34">
        <f t="shared" si="0"/>
        <v>4014.1844300216258</v>
      </c>
      <c r="I34" t="b">
        <f t="shared" si="1"/>
        <v>0</v>
      </c>
    </row>
    <row r="35" spans="1:9" x14ac:dyDescent="0.25">
      <c r="A35">
        <v>34000</v>
      </c>
      <c r="B35">
        <v>5438</v>
      </c>
      <c r="C35">
        <f t="shared" si="2"/>
        <v>3.5295579963766782E-2</v>
      </c>
      <c r="D35">
        <f t="shared" si="0"/>
        <v>4147.6933137690066</v>
      </c>
      <c r="I35" t="b">
        <f t="shared" si="1"/>
        <v>0</v>
      </c>
    </row>
    <row r="36" spans="1:9" x14ac:dyDescent="0.25">
      <c r="A36">
        <v>35000</v>
      </c>
      <c r="B36">
        <v>8220</v>
      </c>
      <c r="C36">
        <f t="shared" si="2"/>
        <v>5.1684336714355572E-2</v>
      </c>
      <c r="D36">
        <f t="shared" si="0"/>
        <v>4281.5461162094452</v>
      </c>
      <c r="I36" t="b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bubble</vt:lpstr>
      <vt:lpstr>Hoja1</vt:lpstr>
      <vt:lpstr>merge</vt:lpstr>
      <vt:lpstr>quick</vt:lpstr>
      <vt:lpstr>quick2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x</dc:creator>
  <dc:description/>
  <cp:lastModifiedBy>JUAN x</cp:lastModifiedBy>
  <cp:revision>2</cp:revision>
  <dcterms:created xsi:type="dcterms:W3CDTF">2025-03-16T18:12:27Z</dcterms:created>
  <dcterms:modified xsi:type="dcterms:W3CDTF">2025-03-18T23:50:52Z</dcterms:modified>
  <dc:language>es-ES</dc:language>
</cp:coreProperties>
</file>